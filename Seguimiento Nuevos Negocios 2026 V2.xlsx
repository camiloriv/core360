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ocapacitacionproforma-my.sharepoint.com/personal/crivera_proforma_cl/Documents/Escritorio/core360/"/>
    </mc:Choice>
  </mc:AlternateContent>
  <xr:revisionPtr revIDLastSave="15" documentId="13_ncr:1_{5E49DB9A-B287-4761-A789-EC3D3C914A44}" xr6:coauthVersionLast="47" xr6:coauthVersionMax="47" xr10:uidLastSave="{C97C9483-7BE3-4F41-A9FF-D8EEA0AC3816}"/>
  <bookViews>
    <workbookView xWindow="-120" yWindow="-120" windowWidth="20730" windowHeight="11040" firstSheet="1" activeTab="1" xr2:uid="{DBF5C893-2935-4BB7-8461-1B05B3FB8605}"/>
  </bookViews>
  <sheets>
    <sheet name="2025" sheetId="3" state="hidden" r:id="rId1"/>
    <sheet name="2026" sheetId="1" r:id="rId2"/>
    <sheet name="Hoja2" sheetId="12" r:id="rId3"/>
    <sheet name="Hoja4" sheetId="9" state="hidden" r:id="rId4"/>
    <sheet name="Para Fabiola" sheetId="8" r:id="rId5"/>
    <sheet name="Hoja5" sheetId="10" state="hidden" r:id="rId6"/>
    <sheet name="Indicadores" sheetId="2" r:id="rId7"/>
    <sheet name="ALIANZA HR" sheetId="4" r:id="rId8"/>
  </sheets>
  <externalReferences>
    <externalReference r:id="rId9"/>
  </externalReferences>
  <definedNames>
    <definedName name="_xlnm._FilterDatabase" localSheetId="1" hidden="1">'2026'!$A$2:$Z$173</definedName>
    <definedName name="_xlcn.WorksheetConnection_SeguimientoNuevosNegocios2026V2.xlsxTabla11" hidden="1">Tabla1[]</definedName>
    <definedName name="Indicador">Tabla3[[#All],[Indicador ]]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Seguimiento Nuevos Negocios 2026 V2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3" i="1" l="1"/>
  <c r="R173" i="1"/>
  <c r="I20" i="8"/>
  <c r="H20" i="8"/>
  <c r="Q184" i="1"/>
  <c r="L30" i="1"/>
  <c r="R30" i="1"/>
  <c r="L28" i="1"/>
  <c r="R28" i="1"/>
  <c r="L55" i="1"/>
  <c r="R55" i="1"/>
  <c r="L54" i="1"/>
  <c r="R54" i="1"/>
  <c r="L62" i="1"/>
  <c r="R62" i="1"/>
  <c r="L61" i="1"/>
  <c r="R61" i="1"/>
  <c r="L66" i="1"/>
  <c r="R66" i="1"/>
  <c r="L171" i="1"/>
  <c r="R171" i="1"/>
  <c r="L169" i="1"/>
  <c r="R169" i="1"/>
  <c r="L65" i="1"/>
  <c r="R65" i="1"/>
  <c r="L91" i="1"/>
  <c r="R91" i="1"/>
  <c r="L68" i="1"/>
  <c r="R68" i="1"/>
  <c r="L41" i="1"/>
  <c r="L40" i="1"/>
  <c r="R47" i="1"/>
  <c r="L47" i="1"/>
  <c r="L50" i="1"/>
  <c r="R50" i="1"/>
  <c r="R41" i="1"/>
  <c r="R40" i="1"/>
  <c r="R46" i="1"/>
  <c r="L46" i="1"/>
  <c r="R48" i="1"/>
  <c r="L48" i="1"/>
  <c r="L39" i="1"/>
  <c r="R39" i="1"/>
  <c r="L35" i="1"/>
  <c r="R35" i="1"/>
  <c r="L86" i="1" l="1"/>
  <c r="R86" i="1"/>
  <c r="C70" i="3"/>
  <c r="C61" i="3"/>
  <c r="L60" i="1"/>
  <c r="R60" i="1"/>
  <c r="L123" i="1"/>
  <c r="L116" i="1"/>
  <c r="L142" i="1"/>
  <c r="L134" i="1"/>
  <c r="L125" i="1"/>
  <c r="L145" i="1"/>
  <c r="L127" i="1"/>
  <c r="L147" i="1"/>
  <c r="L152" i="1"/>
  <c r="L149" i="1"/>
  <c r="L157" i="1"/>
  <c r="L118" i="1"/>
  <c r="L113" i="1"/>
  <c r="L95" i="1"/>
  <c r="L158" i="1"/>
  <c r="L155" i="1"/>
  <c r="L104" i="1"/>
  <c r="L168" i="1"/>
  <c r="L144" i="1"/>
  <c r="L130" i="1"/>
  <c r="L154" i="1"/>
  <c r="L101" i="1"/>
  <c r="L136" i="1"/>
  <c r="L146" i="1"/>
  <c r="L162" i="1"/>
  <c r="L98" i="1"/>
  <c r="L119" i="1"/>
  <c r="R123" i="1"/>
  <c r="R116" i="1"/>
  <c r="R142" i="1"/>
  <c r="R134" i="1"/>
  <c r="R125" i="1"/>
  <c r="R145" i="1"/>
  <c r="R127" i="1"/>
  <c r="R147" i="1"/>
  <c r="R152" i="1"/>
  <c r="R149" i="1"/>
  <c r="R157" i="1"/>
  <c r="R118" i="1"/>
  <c r="R113" i="1"/>
  <c r="R95" i="1"/>
  <c r="R158" i="1"/>
  <c r="R155" i="1"/>
  <c r="R104" i="1"/>
  <c r="R168" i="1"/>
  <c r="R144" i="1"/>
  <c r="R130" i="1"/>
  <c r="R154" i="1"/>
  <c r="R101" i="1"/>
  <c r="R136" i="1"/>
  <c r="R146" i="1"/>
  <c r="R162" i="1"/>
  <c r="R98" i="1"/>
  <c r="R119" i="1"/>
  <c r="L128" i="1"/>
  <c r="L139" i="1"/>
  <c r="L138" i="1"/>
  <c r="L96" i="1"/>
  <c r="R128" i="1"/>
  <c r="R139" i="1"/>
  <c r="R138" i="1"/>
  <c r="R96" i="1"/>
  <c r="L108" i="1"/>
  <c r="L99" i="1"/>
  <c r="L131" i="1"/>
  <c r="L117" i="1"/>
  <c r="L137" i="1"/>
  <c r="L124" i="1"/>
  <c r="L53" i="1"/>
  <c r="L140" i="1"/>
  <c r="L167" i="1"/>
  <c r="L122" i="1"/>
  <c r="L103" i="1"/>
  <c r="R108" i="1"/>
  <c r="R99" i="1"/>
  <c r="R131" i="1"/>
  <c r="R117" i="1"/>
  <c r="R137" i="1"/>
  <c r="R124" i="1"/>
  <c r="R53" i="1"/>
  <c r="R140" i="1"/>
  <c r="R167" i="1"/>
  <c r="R122" i="1"/>
  <c r="R103" i="1"/>
  <c r="L135" i="1"/>
  <c r="L94" i="1"/>
  <c r="L106" i="1"/>
  <c r="R135" i="1"/>
  <c r="R94" i="1"/>
  <c r="R106" i="1"/>
  <c r="L156" i="1"/>
  <c r="L110" i="1"/>
  <c r="L163" i="1"/>
  <c r="L97" i="1"/>
  <c r="L102" i="1"/>
  <c r="L120" i="1"/>
  <c r="L109" i="1"/>
  <c r="L161" i="1"/>
  <c r="L126" i="1"/>
  <c r="L132" i="1"/>
  <c r="L143" i="1"/>
  <c r="L114" i="1"/>
  <c r="L107" i="1"/>
  <c r="L100" i="1"/>
  <c r="L148" i="1"/>
  <c r="L105" i="1"/>
  <c r="L111" i="1"/>
  <c r="L112" i="1"/>
  <c r="L121" i="1"/>
  <c r="L150" i="1"/>
  <c r="L133" i="1"/>
  <c r="R156" i="1"/>
  <c r="R110" i="1"/>
  <c r="R163" i="1"/>
  <c r="R97" i="1"/>
  <c r="R102" i="1"/>
  <c r="R120" i="1"/>
  <c r="R109" i="1"/>
  <c r="R161" i="1"/>
  <c r="R126" i="1"/>
  <c r="R132" i="1"/>
  <c r="R143" i="1"/>
  <c r="R114" i="1"/>
  <c r="R107" i="1"/>
  <c r="R100" i="1"/>
  <c r="R148" i="1"/>
  <c r="R105" i="1"/>
  <c r="R111" i="1"/>
  <c r="R112" i="1"/>
  <c r="R121" i="1"/>
  <c r="R150" i="1"/>
  <c r="R133" i="1"/>
  <c r="L164" i="1"/>
  <c r="L115" i="1"/>
  <c r="L129" i="1"/>
  <c r="L151" i="1"/>
  <c r="L160" i="1"/>
  <c r="L166" i="1"/>
  <c r="L153" i="1"/>
  <c r="L165" i="1"/>
  <c r="L141" i="1"/>
  <c r="R164" i="1"/>
  <c r="R115" i="1"/>
  <c r="R129" i="1"/>
  <c r="R151" i="1"/>
  <c r="R160" i="1"/>
  <c r="R166" i="1"/>
  <c r="R153" i="1"/>
  <c r="R165" i="1"/>
  <c r="R141" i="1"/>
  <c r="L159" i="1"/>
  <c r="R159" i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2" i="3"/>
  <c r="C63" i="3"/>
  <c r="C64" i="3"/>
  <c r="C65" i="3"/>
  <c r="C66" i="3"/>
  <c r="C67" i="3"/>
  <c r="C68" i="3"/>
  <c r="C69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L74" i="1"/>
  <c r="R74" i="1"/>
  <c r="L34" i="1"/>
  <c r="L93" i="1"/>
  <c r="R34" i="1"/>
  <c r="R93" i="1"/>
  <c r="L51" i="1"/>
  <c r="R51" i="1"/>
  <c r="L49" i="1"/>
  <c r="R49" i="1"/>
  <c r="R172" i="1"/>
  <c r="L172" i="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2" i="10"/>
  <c r="L7" i="1"/>
  <c r="R7" i="1"/>
  <c r="L90" i="1"/>
  <c r="R90" i="1"/>
  <c r="L23" i="1"/>
  <c r="R23" i="1"/>
  <c r="L24" i="1"/>
  <c r="R24" i="1"/>
  <c r="L25" i="1"/>
  <c r="R25" i="1"/>
  <c r="L26" i="1"/>
  <c r="R26" i="1"/>
  <c r="L27" i="1"/>
  <c r="R27" i="1"/>
  <c r="L89" i="1"/>
  <c r="R89" i="1"/>
  <c r="L73" i="1"/>
  <c r="R73" i="1"/>
  <c r="L11" i="1"/>
  <c r="R11" i="1"/>
  <c r="L8" i="1"/>
  <c r="R8" i="1"/>
  <c r="L44" i="1"/>
  <c r="R44" i="1"/>
  <c r="L16" i="1"/>
  <c r="R16" i="1"/>
  <c r="L42" i="1"/>
  <c r="R42" i="1"/>
  <c r="L43" i="1"/>
  <c r="R43" i="1"/>
  <c r="L52" i="1"/>
  <c r="R52" i="1"/>
  <c r="L36" i="1"/>
  <c r="R36" i="1"/>
  <c r="L37" i="1"/>
  <c r="R37" i="1"/>
  <c r="L33" i="1"/>
  <c r="R33" i="1"/>
  <c r="L17" i="1"/>
  <c r="R17" i="1"/>
  <c r="L9" i="1"/>
  <c r="R9" i="1"/>
  <c r="L72" i="1"/>
  <c r="R72" i="1"/>
  <c r="L79" i="1"/>
  <c r="R79" i="1"/>
  <c r="L14" i="1"/>
  <c r="R14" i="1"/>
  <c r="L4" i="1"/>
  <c r="R4" i="1"/>
  <c r="L5" i="1"/>
  <c r="R5" i="1"/>
  <c r="L21" i="1"/>
  <c r="R21" i="1"/>
  <c r="L6" i="1"/>
  <c r="R6" i="1"/>
  <c r="L12" i="1"/>
  <c r="R12" i="1"/>
  <c r="L19" i="1"/>
  <c r="R19" i="1"/>
  <c r="L18" i="1"/>
  <c r="R18" i="1"/>
  <c r="L15" i="1"/>
  <c r="R15" i="1"/>
  <c r="L13" i="1"/>
  <c r="R13" i="1"/>
  <c r="L22" i="1"/>
  <c r="R22" i="1"/>
  <c r="L20" i="1"/>
  <c r="R20" i="1"/>
  <c r="L10" i="1"/>
  <c r="R10" i="1"/>
  <c r="A4" i="1"/>
  <c r="A5" i="1" s="1"/>
  <c r="L3" i="1"/>
  <c r="R3" i="1"/>
  <c r="L56" i="1"/>
  <c r="R56" i="1"/>
  <c r="L29" i="1"/>
  <c r="R29" i="1"/>
  <c r="L82" i="1"/>
  <c r="R82" i="1"/>
  <c r="L67" i="1"/>
  <c r="R67" i="1"/>
  <c r="L64" i="1"/>
  <c r="R64" i="1"/>
  <c r="L31" i="1"/>
  <c r="R31" i="1"/>
  <c r="L92" i="1"/>
  <c r="R92" i="1"/>
  <c r="L63" i="1"/>
  <c r="R63" i="1"/>
  <c r="L71" i="1"/>
  <c r="R71" i="1"/>
  <c r="L58" i="1"/>
  <c r="R58" i="1"/>
  <c r="L32" i="1"/>
  <c r="R32" i="1"/>
  <c r="L59" i="1"/>
  <c r="R59" i="1"/>
  <c r="L69" i="1"/>
  <c r="R69" i="1"/>
  <c r="L70" i="1"/>
  <c r="R70" i="1"/>
  <c r="L80" i="1"/>
  <c r="R80" i="1"/>
  <c r="L85" i="1"/>
  <c r="R85" i="1"/>
  <c r="L75" i="1"/>
  <c r="R75" i="1"/>
  <c r="L88" i="1"/>
  <c r="R88" i="1"/>
  <c r="L76" i="1"/>
  <c r="R76" i="1"/>
  <c r="L77" i="1"/>
  <c r="R77" i="1"/>
  <c r="L78" i="1"/>
  <c r="R78" i="1"/>
  <c r="L45" i="1"/>
  <c r="R45" i="1"/>
  <c r="L38" i="1"/>
  <c r="R38" i="1"/>
  <c r="L57" i="1"/>
  <c r="R57" i="1"/>
  <c r="L170" i="1"/>
  <c r="R170" i="1"/>
  <c r="L81" i="1"/>
  <c r="R81" i="1"/>
  <c r="L84" i="1"/>
  <c r="R84" i="1"/>
  <c r="L87" i="1"/>
  <c r="R87" i="1"/>
  <c r="L83" i="1"/>
  <c r="R83" i="1"/>
  <c r="O131" i="3"/>
  <c r="H131" i="3"/>
  <c r="G131" i="3"/>
  <c r="P125" i="3"/>
  <c r="I125" i="3"/>
  <c r="P129" i="3"/>
  <c r="I129" i="3"/>
  <c r="P130" i="3"/>
  <c r="I130" i="3"/>
  <c r="P126" i="3"/>
  <c r="I126" i="3"/>
  <c r="P127" i="3"/>
  <c r="I127" i="3"/>
  <c r="P128" i="3"/>
  <c r="I128" i="3"/>
  <c r="P119" i="3"/>
  <c r="I119" i="3"/>
  <c r="P122" i="3"/>
  <c r="I122" i="3"/>
  <c r="P121" i="3"/>
  <c r="I121" i="3"/>
  <c r="P117" i="3"/>
  <c r="I117" i="3"/>
  <c r="P115" i="3"/>
  <c r="I115" i="3"/>
  <c r="P114" i="3"/>
  <c r="I114" i="3"/>
  <c r="P120" i="3"/>
  <c r="I120" i="3"/>
  <c r="P118" i="3"/>
  <c r="I118" i="3"/>
  <c r="P116" i="3"/>
  <c r="I116" i="3"/>
  <c r="P123" i="3"/>
  <c r="I123" i="3"/>
  <c r="P124" i="3"/>
  <c r="I124" i="3"/>
  <c r="P112" i="3"/>
  <c r="I112" i="3"/>
  <c r="P113" i="3"/>
  <c r="I113" i="3"/>
  <c r="P69" i="3"/>
  <c r="I69" i="3"/>
  <c r="P98" i="3"/>
  <c r="I98" i="3"/>
  <c r="P103" i="3"/>
  <c r="I103" i="3"/>
  <c r="P75" i="3"/>
  <c r="I75" i="3"/>
  <c r="P62" i="3"/>
  <c r="I62" i="3"/>
  <c r="P59" i="3"/>
  <c r="I59" i="3"/>
  <c r="P81" i="3"/>
  <c r="I81" i="3"/>
  <c r="P60" i="3"/>
  <c r="I60" i="3"/>
  <c r="P102" i="3"/>
  <c r="I102" i="3"/>
  <c r="P99" i="3"/>
  <c r="I99" i="3"/>
  <c r="P61" i="3"/>
  <c r="I61" i="3"/>
  <c r="P84" i="3"/>
  <c r="I84" i="3"/>
  <c r="P65" i="3"/>
  <c r="I65" i="3"/>
  <c r="P93" i="3"/>
  <c r="I93" i="3"/>
  <c r="P101" i="3"/>
  <c r="I101" i="3"/>
  <c r="P71" i="3"/>
  <c r="I71" i="3"/>
  <c r="P82" i="3"/>
  <c r="I82" i="3"/>
  <c r="P80" i="3"/>
  <c r="I80" i="3"/>
  <c r="P77" i="3"/>
  <c r="I77" i="3"/>
  <c r="P70" i="3"/>
  <c r="I70" i="3"/>
  <c r="P79" i="3"/>
  <c r="I79" i="3"/>
  <c r="P86" i="3"/>
  <c r="I86" i="3"/>
  <c r="P92" i="3"/>
  <c r="P106" i="3"/>
  <c r="I106" i="3"/>
  <c r="P87" i="3"/>
  <c r="P57" i="3"/>
  <c r="I57" i="3"/>
  <c r="P56" i="3"/>
  <c r="I56" i="3"/>
  <c r="P68" i="3"/>
  <c r="I68" i="3"/>
  <c r="P108" i="3"/>
  <c r="P76" i="3"/>
  <c r="I76" i="3"/>
  <c r="P78" i="3"/>
  <c r="I78" i="3"/>
  <c r="P95" i="3"/>
  <c r="I95" i="3"/>
  <c r="P85" i="3"/>
  <c r="I85" i="3"/>
  <c r="P66" i="3"/>
  <c r="I66" i="3"/>
  <c r="P88" i="3"/>
  <c r="I88" i="3"/>
  <c r="P89" i="3"/>
  <c r="I89" i="3"/>
  <c r="P83" i="3"/>
  <c r="I83" i="3"/>
  <c r="P97" i="3"/>
  <c r="I97" i="3"/>
  <c r="P63" i="3"/>
  <c r="I63" i="3"/>
  <c r="P91" i="3"/>
  <c r="I91" i="3"/>
  <c r="P64" i="3"/>
  <c r="I64" i="3"/>
  <c r="P90" i="3"/>
  <c r="I90" i="3"/>
  <c r="P104" i="3"/>
  <c r="I104" i="3"/>
  <c r="P58" i="3"/>
  <c r="I58" i="3"/>
  <c r="P73" i="3"/>
  <c r="I73" i="3"/>
  <c r="P96" i="3"/>
  <c r="I96" i="3"/>
  <c r="P110" i="3"/>
  <c r="I110" i="3"/>
  <c r="P100" i="3"/>
  <c r="I100" i="3"/>
  <c r="P74" i="3"/>
  <c r="I74" i="3"/>
  <c r="P94" i="3"/>
  <c r="I94" i="3"/>
  <c r="P67" i="3"/>
  <c r="I67" i="3"/>
  <c r="P72" i="3"/>
  <c r="I72" i="3"/>
  <c r="P105" i="3"/>
  <c r="I105" i="3"/>
  <c r="P48" i="3"/>
  <c r="I48" i="3"/>
  <c r="P55" i="3"/>
  <c r="P53" i="3"/>
  <c r="I53" i="3"/>
  <c r="P49" i="3"/>
  <c r="I49" i="3"/>
  <c r="P52" i="3"/>
  <c r="I52" i="3"/>
  <c r="P51" i="3"/>
  <c r="I51" i="3"/>
  <c r="P50" i="3"/>
  <c r="I50" i="3"/>
  <c r="P54" i="3"/>
  <c r="I54" i="3"/>
  <c r="P22" i="3"/>
  <c r="P47" i="3"/>
  <c r="I47" i="3"/>
  <c r="P45" i="3"/>
  <c r="I45" i="3"/>
  <c r="P15" i="3"/>
  <c r="P10" i="3"/>
  <c r="P14" i="3"/>
  <c r="I14" i="3"/>
  <c r="P9" i="3"/>
  <c r="P46" i="3"/>
  <c r="I46" i="3"/>
  <c r="P37" i="3"/>
  <c r="I37" i="3"/>
  <c r="P8" i="3"/>
  <c r="I8" i="3"/>
  <c r="P40" i="3"/>
  <c r="I40" i="3"/>
  <c r="P24" i="3"/>
  <c r="I24" i="3"/>
  <c r="P33" i="3"/>
  <c r="I33" i="3"/>
  <c r="P26" i="3"/>
  <c r="I26" i="3"/>
  <c r="P17" i="3"/>
  <c r="I17" i="3"/>
  <c r="P16" i="3"/>
  <c r="I16" i="3"/>
  <c r="P34" i="3"/>
  <c r="I34" i="3"/>
  <c r="P18" i="3"/>
  <c r="I18" i="3"/>
  <c r="P42" i="3"/>
  <c r="I42" i="3"/>
  <c r="P44" i="3"/>
  <c r="I44" i="3"/>
  <c r="P21" i="3"/>
  <c r="I21" i="3"/>
  <c r="P39" i="3"/>
  <c r="I39" i="3"/>
  <c r="P41" i="3"/>
  <c r="I41" i="3"/>
  <c r="P35" i="3"/>
  <c r="I35" i="3"/>
  <c r="P20" i="3"/>
  <c r="I20" i="3"/>
  <c r="P28" i="3"/>
  <c r="I28" i="3"/>
  <c r="P27" i="3"/>
  <c r="I27" i="3"/>
  <c r="P23" i="3"/>
  <c r="I23" i="3"/>
  <c r="P30" i="3"/>
  <c r="I30" i="3"/>
  <c r="P19" i="3"/>
  <c r="I19" i="3"/>
  <c r="P3" i="3"/>
  <c r="I3" i="3"/>
  <c r="P13" i="3"/>
  <c r="I13" i="3"/>
  <c r="P6" i="3"/>
  <c r="I6" i="3"/>
  <c r="P36" i="3"/>
  <c r="I36" i="3"/>
  <c r="P4" i="3"/>
  <c r="P38" i="3"/>
  <c r="I38" i="3"/>
  <c r="P12" i="3"/>
  <c r="P32" i="3"/>
  <c r="I32" i="3"/>
  <c r="P43" i="3"/>
  <c r="I43" i="3"/>
  <c r="P29" i="3"/>
  <c r="P25" i="3"/>
  <c r="I25" i="3"/>
  <c r="P31" i="3"/>
  <c r="I31" i="3"/>
  <c r="P5" i="3"/>
  <c r="I5" i="3"/>
  <c r="P11" i="3"/>
  <c r="I11" i="3"/>
  <c r="P2" i="3"/>
  <c r="I2" i="3"/>
  <c r="I131" i="3" s="1"/>
  <c r="O139" i="3" l="1"/>
  <c r="P135" i="3"/>
  <c r="O134" i="3"/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 s="1"/>
  <c r="A49" i="3" s="1"/>
  <c r="A50" i="3" s="1"/>
  <c r="A51" i="3" s="1"/>
  <c r="A52" i="3" s="1"/>
  <c r="A53" i="3" s="1"/>
  <c r="A54" i="3" s="1"/>
  <c r="A55" i="3" s="1"/>
  <c r="A56" i="3" s="1"/>
  <c r="A57" i="3" l="1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l="1"/>
  <c r="A31" i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0E6328-3BCD-4CEF-AB7C-4471C4FB77C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8FA0C8E-5140-4FE4-A963-AF3F8353415E}" name="WorksheetConnection_Seguimiento Nuevos Negocios 2026 V2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SeguimientoNuevosNegocios2026V2.xlsxTabla11"/>
        </x15:connection>
      </ext>
    </extLst>
  </connection>
</connections>
</file>

<file path=xl/sharedStrings.xml><?xml version="1.0" encoding="utf-8"?>
<sst xmlns="http://schemas.openxmlformats.org/spreadsheetml/2006/main" count="4284" uniqueCount="1105">
  <si>
    <t>N°</t>
  </si>
  <si>
    <t xml:space="preserve">Monto 1% u Aporte </t>
  </si>
  <si>
    <t>Tasa Propuesta Administración OTIC</t>
  </si>
  <si>
    <t xml:space="preserve">Monto Admisnistración </t>
  </si>
  <si>
    <t>OTIC Actual</t>
  </si>
  <si>
    <t xml:space="preserve">Jefa de Cartera Asignada </t>
  </si>
  <si>
    <t xml:space="preserve">Estado </t>
  </si>
  <si>
    <t>Aporte Ingresado</t>
  </si>
  <si>
    <t xml:space="preserve">Diferencia </t>
  </si>
  <si>
    <t xml:space="preserve">Contacto </t>
  </si>
  <si>
    <t>Correo</t>
  </si>
  <si>
    <t>Comentarios (Acciones / Reuniones)</t>
  </si>
  <si>
    <t>Página web</t>
  </si>
  <si>
    <t xml:space="preserve">Adherida al OTIC </t>
  </si>
  <si>
    <t>Rechaza propuesta</t>
  </si>
  <si>
    <t>Proceso de afiliación</t>
  </si>
  <si>
    <t>Indicador</t>
  </si>
  <si>
    <t xml:space="preserve">Indicador </t>
  </si>
  <si>
    <t xml:space="preserve">Evento </t>
  </si>
  <si>
    <t>Si</t>
  </si>
  <si>
    <t>No</t>
  </si>
  <si>
    <t>Zona</t>
  </si>
  <si>
    <t xml:space="preserve">Zona </t>
  </si>
  <si>
    <t xml:space="preserve">RM </t>
  </si>
  <si>
    <t>Norte 1</t>
  </si>
  <si>
    <t xml:space="preserve">Norte 2 </t>
  </si>
  <si>
    <t xml:space="preserve">Sur 1 </t>
  </si>
  <si>
    <t>Sur 2</t>
  </si>
  <si>
    <t>Carolina Osorio</t>
  </si>
  <si>
    <t>No Aplica</t>
  </si>
  <si>
    <t>No Asignado</t>
  </si>
  <si>
    <t xml:space="preserve">Elizabeth Cardenas </t>
  </si>
  <si>
    <t xml:space="preserve">Valentina Alarcón </t>
  </si>
  <si>
    <t xml:space="preserve">Beatriz Silva </t>
  </si>
  <si>
    <t xml:space="preserve">Luisa Bravo </t>
  </si>
  <si>
    <t>Mes Envío Propuesta</t>
  </si>
  <si>
    <t>Enero</t>
  </si>
  <si>
    <t xml:space="preserve">OTIC Actual </t>
  </si>
  <si>
    <t>OTIC SOFOFA</t>
  </si>
  <si>
    <t xml:space="preserve">OTIC COMERCIO </t>
  </si>
  <si>
    <t>OTIC CCHC</t>
  </si>
  <si>
    <t>OTIC ASIMET</t>
  </si>
  <si>
    <t>OTIC ALIANZA</t>
  </si>
  <si>
    <t>OTRA</t>
  </si>
  <si>
    <t>NO INDICA</t>
  </si>
  <si>
    <t>adaille@fantasilandia.cl</t>
  </si>
  <si>
    <t>Angel Daille Chacón</t>
  </si>
  <si>
    <t>Fecha Autoriza Propuesta</t>
  </si>
  <si>
    <t>cjara@geotec.cl</t>
  </si>
  <si>
    <t>Christopher Jara</t>
  </si>
  <si>
    <t>GEOTEC</t>
  </si>
  <si>
    <t>GRUPO LAGOS</t>
  </si>
  <si>
    <t>fernanda.olmos@grupolagos.cl</t>
  </si>
  <si>
    <t>Fernanda Olmos</t>
  </si>
  <si>
    <t xml:space="preserve">Referido Pablo Work Force </t>
  </si>
  <si>
    <t>NORMAS-ISO CHILE</t>
  </si>
  <si>
    <t xml:space="preserve">PF ALIMENTOS </t>
  </si>
  <si>
    <t>pamela.casanova@pfalimentos.cl</t>
  </si>
  <si>
    <t>Pamela Casanova</t>
  </si>
  <si>
    <t xml:space="preserve">Enviada x Don Michel </t>
  </si>
  <si>
    <t>TD SYNNEX</t>
  </si>
  <si>
    <t>HEAVENWARD</t>
  </si>
  <si>
    <t>natasha.sanchez@tdsynnex.com</t>
  </si>
  <si>
    <t>Natasha Sanchez</t>
  </si>
  <si>
    <t>Falta monto 1% para enviar propuesta de Servicios OTIC</t>
  </si>
  <si>
    <t>priscila.reinoso@cl-itechnology.com</t>
  </si>
  <si>
    <t>jeannette.retamal@heavenward.cl, camila.correa@heavenward.cl</t>
  </si>
  <si>
    <t>Jeanette Retamal  y Camila Correa</t>
  </si>
  <si>
    <t>SIN OTIC</t>
  </si>
  <si>
    <t>I - Technology</t>
  </si>
  <si>
    <t>DOREL</t>
  </si>
  <si>
    <t>Fernanda.Nunez@fourpoints.com, Claudio.Vargas@fourpoints.com</t>
  </si>
  <si>
    <t>Fernanda Nunez y Claudio Vargas</t>
  </si>
  <si>
    <t xml:space="preserve">Segunda propuesta enviada, primera fue en el 2025 sin concretar </t>
  </si>
  <si>
    <t>Licitación</t>
  </si>
  <si>
    <t>Paola Muñoz</t>
  </si>
  <si>
    <t>Arturo Alvarez</t>
  </si>
  <si>
    <t>RUT</t>
  </si>
  <si>
    <t>HOLDING</t>
  </si>
  <si>
    <t>70885500-6</t>
  </si>
  <si>
    <t>FOURPOINTS</t>
  </si>
  <si>
    <t>DOREL JUVENILE CHILE S.A</t>
  </si>
  <si>
    <t>76171658-1</t>
  </si>
  <si>
    <t>U. Talca</t>
  </si>
  <si>
    <t>Razón Social</t>
  </si>
  <si>
    <t>UNIVERSIDAD TALCA</t>
  </si>
  <si>
    <t>Recuperada – Área Comercial</t>
  </si>
  <si>
    <t>Referido OTEC / Proveedor</t>
  </si>
  <si>
    <t>Recuperada – Nuevos Negocios</t>
  </si>
  <si>
    <t>Referido Cliente</t>
  </si>
  <si>
    <t>FANTASILANDIA</t>
  </si>
  <si>
    <t>96768160-1</t>
  </si>
  <si>
    <t>HOTELERA SANTA MAGDALENA S.A</t>
  </si>
  <si>
    <t>Relación profesional previa</t>
  </si>
  <si>
    <t>SKECHERS</t>
  </si>
  <si>
    <t xml:space="preserve">Propuesta Enviada  </t>
  </si>
  <si>
    <t>Contacto Inicial - Sin Propuesta</t>
  </si>
  <si>
    <t>Jimena.sepulveda@skechers.com, barbara.domian@skechers.com</t>
  </si>
  <si>
    <t>Barbara domian y Jimena Sepulveda</t>
  </si>
  <si>
    <t xml:space="preserve">Licitación </t>
  </si>
  <si>
    <t xml:space="preserve">20-01-2026 Correo recordatorio </t>
  </si>
  <si>
    <t xml:space="preserve">YOUTOPIA CLUB </t>
  </si>
  <si>
    <t>mariajose.torres@youtopia.club</t>
  </si>
  <si>
    <t xml:space="preserve">María José Torres </t>
  </si>
  <si>
    <t xml:space="preserve">Fecha Reunión </t>
  </si>
  <si>
    <t>APSORAD</t>
  </si>
  <si>
    <t>cclaveria@apsorad.cl</t>
  </si>
  <si>
    <t xml:space="preserve">Contanza Claveria </t>
  </si>
  <si>
    <t xml:space="preserve">GXO </t>
  </si>
  <si>
    <t>pedro.caballero@gxo.com</t>
  </si>
  <si>
    <t>Pedro Caballero</t>
  </si>
  <si>
    <t>Propuesta Enviada año anterior</t>
  </si>
  <si>
    <t>Descripción / Criterio de origen</t>
  </si>
  <si>
    <t>Contacto ingresado directamente a través del sitio web institucional.</t>
  </si>
  <si>
    <t>Empresa contactada nuevamente por el área comercial tras un periodo sin gestión activa.</t>
  </si>
  <si>
    <t>Contacto derivado por un OTEC aliado o proveedor estratégico.</t>
  </si>
  <si>
    <t>Empresa recomendada por un cliente activo o histórico.</t>
  </si>
  <si>
    <t>Contacto proveniente de vínculos laborales o profesionales anteriores.</t>
  </si>
  <si>
    <t>Oportunidad originada por participación en licitación pública o privada.</t>
  </si>
  <si>
    <t>Propuesta enviada año anterior</t>
  </si>
  <si>
    <t>Empresa a la que se le envió propuesta en periodos anteriores y se retoma contacto.</t>
  </si>
  <si>
    <t xml:space="preserve">Empresa reactivada por el área de Nuevos Negocios, perdida de años anteriores. </t>
  </si>
  <si>
    <t xml:space="preserve">NUEVO PUDAHUEL </t>
  </si>
  <si>
    <t>SOCIEDAD CONCESIONARIA NUEVO PUDAHUEL S.A.</t>
  </si>
  <si>
    <t>76541298-6</t>
  </si>
  <si>
    <t>SOCIEDAD DE TELEMEDICINA APSORAD SPA</t>
  </si>
  <si>
    <t>COMERCIALIZADORA SKECHERS CHILE LIMITADA</t>
  </si>
  <si>
    <t>76047265-4</t>
  </si>
  <si>
    <t xml:space="preserve">ARISTIA </t>
  </si>
  <si>
    <t>tavendano@ariztia.com</t>
  </si>
  <si>
    <t>Luna Avendaño</t>
  </si>
  <si>
    <t>MINISO</t>
  </si>
  <si>
    <t>karen.sierra@miniso.cl</t>
  </si>
  <si>
    <t>Karen Sierra</t>
  </si>
  <si>
    <t xml:space="preserve">Se envía propuesta </t>
  </si>
  <si>
    <t>TREK RENTAL</t>
  </si>
  <si>
    <t>Febrero</t>
  </si>
  <si>
    <t>pmontes@trekrental.com, mjaque@trekrental.com</t>
  </si>
  <si>
    <t xml:space="preserve">Referido Patricio Pinto </t>
  </si>
  <si>
    <t xml:space="preserve">CLINICA ALEMANA </t>
  </si>
  <si>
    <t>CONSTRUCTORA SIERRA NEVADA S.A</t>
  </si>
  <si>
    <t>María Teresa Morales</t>
  </si>
  <si>
    <t>Carla Parada</t>
  </si>
  <si>
    <t>DVP</t>
  </si>
  <si>
    <t>OTIC CAMACOES</t>
  </si>
  <si>
    <t>vfritz@alemana.cl</t>
  </si>
  <si>
    <t>Veronica Fritz</t>
  </si>
  <si>
    <t>cgc.asesor@gmail.com</t>
  </si>
  <si>
    <t xml:space="preserve">Claudio </t>
  </si>
  <si>
    <t>Empresa / Holding</t>
  </si>
  <si>
    <t xml:space="preserve">AÑO </t>
  </si>
  <si>
    <t xml:space="preserve">Contacto Página Web </t>
  </si>
  <si>
    <t>Ejecutivo(s) a Cargo</t>
  </si>
  <si>
    <t>Columna1</t>
  </si>
  <si>
    <t>Fecha Último Contacto</t>
  </si>
  <si>
    <t>Implementos</t>
  </si>
  <si>
    <t>Referido</t>
  </si>
  <si>
    <t>SOFOFA</t>
  </si>
  <si>
    <t>Kari / Caro</t>
  </si>
  <si>
    <t>RM</t>
  </si>
  <si>
    <t>Jorge Barcasa</t>
  </si>
  <si>
    <t>jorge.barcasa@implementos.cl</t>
  </si>
  <si>
    <t>Afiliada OTIC</t>
  </si>
  <si>
    <t>PHARMA GROUP</t>
  </si>
  <si>
    <t>No informa</t>
  </si>
  <si>
    <t>Kari / Lili</t>
  </si>
  <si>
    <t>Camila Fernandez</t>
  </si>
  <si>
    <t>Mauricio Miranda</t>
  </si>
  <si>
    <t>mauricio.miranda@pharmagroup.cl</t>
  </si>
  <si>
    <t>MDP ANDAMIOS</t>
  </si>
  <si>
    <t>Pagina Web</t>
  </si>
  <si>
    <t>Kari</t>
  </si>
  <si>
    <t>Gissele Díaz / Fernando Fernandez</t>
  </si>
  <si>
    <t>gdiaz@mdpandamios.cl / ffernandez@mdpandamios.cl</t>
  </si>
  <si>
    <t>Caribean Pharma</t>
  </si>
  <si>
    <t>Sin registro</t>
  </si>
  <si>
    <t xml:space="preserve">Valentina Alarcon </t>
  </si>
  <si>
    <t>Roberto Cuellar</t>
  </si>
  <si>
    <t>rcuellar@caribeanpharma.cl</t>
  </si>
  <si>
    <t>Propuesta Enviada / Sin Respuesta</t>
  </si>
  <si>
    <t>WorkMed</t>
  </si>
  <si>
    <t>Lili/ Claudia</t>
  </si>
  <si>
    <t>Jorge Rojas</t>
  </si>
  <si>
    <t>jrojas@workmed.cl</t>
  </si>
  <si>
    <t>Seguimiento sin propuestas</t>
  </si>
  <si>
    <t>ARM</t>
  </si>
  <si>
    <t>NORTE 2</t>
  </si>
  <si>
    <t>Daniela Escudero</t>
  </si>
  <si>
    <t>Randhit Torres</t>
  </si>
  <si>
    <t>rtorres@ariskm.com</t>
  </si>
  <si>
    <t>GENERA</t>
  </si>
  <si>
    <t>Solange Roudergue</t>
  </si>
  <si>
    <t>sroudergue@genera.cl</t>
  </si>
  <si>
    <t>CATHPRO</t>
  </si>
  <si>
    <t>Florencia Mraga</t>
  </si>
  <si>
    <t>fmoraga@cathpro.cl</t>
  </si>
  <si>
    <t>PROK</t>
  </si>
  <si>
    <t>DEFONTANA</t>
  </si>
  <si>
    <t>Lili / Claudia</t>
  </si>
  <si>
    <t>Francisco Ahumada</t>
  </si>
  <si>
    <t>fahumada@ext.defontana.com</t>
  </si>
  <si>
    <t>Evaluando fecha de aporte / LO Ejecutiva Camila Fernandez - Reunión presencial</t>
  </si>
  <si>
    <t>LONCHERA</t>
  </si>
  <si>
    <t>Tania Duque</t>
  </si>
  <si>
    <t>tduque@lonchera.cl</t>
  </si>
  <si>
    <t>Colegio LCC Buin</t>
  </si>
  <si>
    <t>Plataforma</t>
  </si>
  <si>
    <t xml:space="preserve">Kari </t>
  </si>
  <si>
    <t>Cristian Ruay</t>
  </si>
  <si>
    <t>cristianruay@lccbuin.cl</t>
  </si>
  <si>
    <t xml:space="preserve">Propuesta enviada. </t>
  </si>
  <si>
    <t>MEDIZINTECHNIK</t>
  </si>
  <si>
    <t>Lili / Kari</t>
  </si>
  <si>
    <t>Amarillys Guevara</t>
  </si>
  <si>
    <t>aguevara@medizin.cl</t>
  </si>
  <si>
    <t>En proceso de afiliación al OTIC</t>
  </si>
  <si>
    <t xml:space="preserve">PRONTO PAGA </t>
  </si>
  <si>
    <t>Constanza Fuentes</t>
  </si>
  <si>
    <t>Constanza.Fuentes@prontopaga.com</t>
  </si>
  <si>
    <t>Kimn-IT</t>
  </si>
  <si>
    <t>Referido José Luis Donoso</t>
  </si>
  <si>
    <t xml:space="preserve">Sin OTIC </t>
  </si>
  <si>
    <t>Beatriz Silva</t>
  </si>
  <si>
    <t>Pamela Jara</t>
  </si>
  <si>
    <t>pamela.jara@kimn-it.cl ; briscila.bustos@kimn-it.cl</t>
  </si>
  <si>
    <t>TERCOP</t>
  </si>
  <si>
    <t>Lili</t>
  </si>
  <si>
    <t>Danielo Soto</t>
  </si>
  <si>
    <t>dsoto@tercop.cl</t>
  </si>
  <si>
    <t>Empresa en Negativo Aporta Lunes 29</t>
  </si>
  <si>
    <t>BOTAII</t>
  </si>
  <si>
    <t>Alejandra Lupallante</t>
  </si>
  <si>
    <t>alupallante@bottai.cl</t>
  </si>
  <si>
    <t>T-RM</t>
  </si>
  <si>
    <t>Michel / Claudia / Lili</t>
  </si>
  <si>
    <t xml:space="preserve">Carolina Osorio </t>
  </si>
  <si>
    <t>Cristian Martinez</t>
  </si>
  <si>
    <t>cmartinez@t-rm.cl</t>
  </si>
  <si>
    <t>Reunión 21-10 / Financimiento tasa 15%</t>
  </si>
  <si>
    <t xml:space="preserve">Alsacia Importadora </t>
  </si>
  <si>
    <t>Karina Maldonado</t>
  </si>
  <si>
    <t>Pamela Vasquez</t>
  </si>
  <si>
    <t>Pvelasquez@ALSACIAREPUESTOS.CL</t>
  </si>
  <si>
    <t xml:space="preserve">AMINPRO </t>
  </si>
  <si>
    <t>Nayelin Perez</t>
  </si>
  <si>
    <t>nperez@aminpro.com</t>
  </si>
  <si>
    <t>TNS</t>
  </si>
  <si>
    <t>Claudia / Lili / Cami</t>
  </si>
  <si>
    <t>Priscilla Vilches</t>
  </si>
  <si>
    <t>priscilla.vilches@tnschile.com</t>
  </si>
  <si>
    <t>CLEANER</t>
  </si>
  <si>
    <t>Referido Bernardita</t>
  </si>
  <si>
    <t>Claudia</t>
  </si>
  <si>
    <t xml:space="preserve">EMANDISA </t>
  </si>
  <si>
    <t>Referido Maximiliano</t>
  </si>
  <si>
    <t>Clau/Kari</t>
  </si>
  <si>
    <t>Alexis Parraguez</t>
  </si>
  <si>
    <t>aparraguez@emandisa.cl</t>
  </si>
  <si>
    <t>DELLORTO</t>
  </si>
  <si>
    <t>Cristían Roman</t>
  </si>
  <si>
    <t>croman@dellorto.cl</t>
  </si>
  <si>
    <t>TOPWEAR</t>
  </si>
  <si>
    <t>Referido Christopher Mery</t>
  </si>
  <si>
    <t>cgpoblete@topwear.cl</t>
  </si>
  <si>
    <t>GRAN AMERICAS STGO</t>
  </si>
  <si>
    <t>Clau</t>
  </si>
  <si>
    <t>Constanza  Coñoman</t>
  </si>
  <si>
    <t>Gonzalo Valdebenito</t>
  </si>
  <si>
    <t>gonzalo.valdebenito@granamericaschile.cl</t>
  </si>
  <si>
    <t>Erbi Supermecados</t>
  </si>
  <si>
    <t xml:space="preserve">Referido </t>
  </si>
  <si>
    <t>Judith Toledo // Natalia Belmar</t>
  </si>
  <si>
    <t>jtoledo@erbi.cl,  nbelmar@erbi.cl</t>
  </si>
  <si>
    <t>TEAMWORK</t>
  </si>
  <si>
    <t>CHILEAN RENT A CAR</t>
  </si>
  <si>
    <t>Karen Troncoso</t>
  </si>
  <si>
    <t>karen.troncoso@chileanrentacar.cl // calarcon@chileanrentacar.cl</t>
  </si>
  <si>
    <t xml:space="preserve">Samsa Aromas </t>
  </si>
  <si>
    <t xml:space="preserve">Clau </t>
  </si>
  <si>
    <t xml:space="preserve">Macarena Koch M </t>
  </si>
  <si>
    <t>samsaaromas.adm@gmail.com</t>
  </si>
  <si>
    <t>Schwager</t>
  </si>
  <si>
    <t>Don Michel</t>
  </si>
  <si>
    <t xml:space="preserve">ABOGADOS  VALDES </t>
  </si>
  <si>
    <t xml:space="preserve">Rosi Palma </t>
  </si>
  <si>
    <t xml:space="preserve">CFT PUCV </t>
  </si>
  <si>
    <t>desarrollodepersonas@cftpucv.cl</t>
  </si>
  <si>
    <t xml:space="preserve">VIGATEC </t>
  </si>
  <si>
    <t xml:space="preserve">Don Michel </t>
  </si>
  <si>
    <t>ASIMET</t>
  </si>
  <si>
    <t>Fernanda Morales</t>
  </si>
  <si>
    <t>fmorales@vigatec.com</t>
  </si>
  <si>
    <t>EDUCA GRAFICA</t>
  </si>
  <si>
    <t>Referido OTEC</t>
  </si>
  <si>
    <t>Yisma Ayala</t>
  </si>
  <si>
    <t>y.ayala@educagrafica.cl</t>
  </si>
  <si>
    <t>MURPHY SPA</t>
  </si>
  <si>
    <t>SUR 2</t>
  </si>
  <si>
    <t xml:space="preserve">Carla Parada </t>
  </si>
  <si>
    <t xml:space="preserve">CYG </t>
  </si>
  <si>
    <t>Recuerpada 2025</t>
  </si>
  <si>
    <t xml:space="preserve">IGT CHILE </t>
  </si>
  <si>
    <t>Lorena Muñoz</t>
  </si>
  <si>
    <t>lorena.munoz@igtchile.cl</t>
  </si>
  <si>
    <t>OLIGRAF</t>
  </si>
  <si>
    <t>Manuel</t>
  </si>
  <si>
    <t>manuel@oligrafic.cl</t>
  </si>
  <si>
    <t>PROYECTA</t>
  </si>
  <si>
    <t>Otec Capacita2 Para El Desarollo Limitada</t>
  </si>
  <si>
    <t>Rooftek Spa</t>
  </si>
  <si>
    <t>Grupo DLC</t>
  </si>
  <si>
    <t>Elizabeth Rodriguez</t>
  </si>
  <si>
    <t>erodriguez@grupodlc.com</t>
  </si>
  <si>
    <t>Seguimiento 19-05</t>
  </si>
  <si>
    <t xml:space="preserve">IMACSA </t>
  </si>
  <si>
    <t>MEDTEC</t>
  </si>
  <si>
    <t xml:space="preserve">Transporte Pacifico </t>
  </si>
  <si>
    <t>Terra Ignota</t>
  </si>
  <si>
    <t>Tomas Marquardt</t>
  </si>
  <si>
    <t>tmarquardt@terraignota.cl</t>
  </si>
  <si>
    <t xml:space="preserve">Aporte Prontamente </t>
  </si>
  <si>
    <t>VERISURE</t>
  </si>
  <si>
    <t>Alicia rodriguez</t>
  </si>
  <si>
    <t>alicia.rodriguezpena@verisure.cl</t>
  </si>
  <si>
    <t>Licitación 2024 desierta, retoma directo / Ejecutiva Camila Fernandez</t>
  </si>
  <si>
    <t xml:space="preserve">DPG CHILE </t>
  </si>
  <si>
    <t>Kevin Dominguez</t>
  </si>
  <si>
    <t>kdominguez@dpgchile.cl</t>
  </si>
  <si>
    <t xml:space="preserve">Propuesta autorizada </t>
  </si>
  <si>
    <t>Huevos Los Alemanes</t>
  </si>
  <si>
    <t>Lilian</t>
  </si>
  <si>
    <t>Dania Garrido</t>
  </si>
  <si>
    <t>dgarrido@losalemanes.cl</t>
  </si>
  <si>
    <t>Acepta Ppropuesta 18-07</t>
  </si>
  <si>
    <t>TATA</t>
  </si>
  <si>
    <t>Antiguo socio</t>
  </si>
  <si>
    <t xml:space="preserve">Osvaldo Lastra </t>
  </si>
  <si>
    <t>osvaldo.lastra@tcs.com</t>
  </si>
  <si>
    <t xml:space="preserve">Empresa Contra Gasto / propuesta enviada C. Fernandez </t>
  </si>
  <si>
    <t>REINSA</t>
  </si>
  <si>
    <t>Marcela / Roxana</t>
  </si>
  <si>
    <t>rsoto@reinsa.cl; contabilidad@reinsa.cl</t>
  </si>
  <si>
    <t>WETRANSOPORT</t>
  </si>
  <si>
    <t>No asignado</t>
  </si>
  <si>
    <t xml:space="preserve">Luis Caceres </t>
  </si>
  <si>
    <t>luis.caceres@wetransport.cl</t>
  </si>
  <si>
    <t>Coni</t>
  </si>
  <si>
    <t>Bryan Montenegro</t>
  </si>
  <si>
    <t>bryan.montenegro@nuevopudahuel.cl</t>
  </si>
  <si>
    <t>Registro de propuesta 24-06</t>
  </si>
  <si>
    <t>ORICA</t>
  </si>
  <si>
    <t xml:space="preserve">Contra Gasto </t>
  </si>
  <si>
    <t>-</t>
  </si>
  <si>
    <t>Eli Cardenas</t>
  </si>
  <si>
    <t>Jorge Maldonado</t>
  </si>
  <si>
    <t>jorge.maldonado@orica.com</t>
  </si>
  <si>
    <t>EDUDOWN - (A la Huerta de la Esquina)</t>
  </si>
  <si>
    <t>Barbara Martinez</t>
  </si>
  <si>
    <t>barbaramartinez@edudown.cl</t>
  </si>
  <si>
    <t>Propuesta aceptada 29-05. Proceso para formalizar adhesion</t>
  </si>
  <si>
    <t>CLUB DEPORTIVO MANQUEHUE</t>
  </si>
  <si>
    <t>Loreto Verdugo</t>
  </si>
  <si>
    <t>lverdugo@clubmanquehue.cl</t>
  </si>
  <si>
    <t>Propuesta enviada viernes 14-02 / seguimiento realizado 19-05</t>
  </si>
  <si>
    <t>TISAL</t>
  </si>
  <si>
    <t>Estefany Medrano</t>
  </si>
  <si>
    <t>estefany.medrano@tisal.cl</t>
  </si>
  <si>
    <t>Propuesta enviada miercoles 19-02 / Seguimiento 19-05</t>
  </si>
  <si>
    <t>World Vision</t>
  </si>
  <si>
    <t>Romina Antilef</t>
  </si>
  <si>
    <t>romina_antilef@wvi.org,  maría_munoz@wvi.org</t>
  </si>
  <si>
    <t>Propuesta enviada jueves 20-02 / Seguimiento 19-05</t>
  </si>
  <si>
    <t>Plan Group</t>
  </si>
  <si>
    <t>Yohana Sandoval</t>
  </si>
  <si>
    <t>ysandoval@plangroup.cl</t>
  </si>
  <si>
    <t>propuesta enviada / Empresa del SUR. Se mantiene seguimiento 14-05</t>
  </si>
  <si>
    <t>MetalMac</t>
  </si>
  <si>
    <t>Alexis Morales</t>
  </si>
  <si>
    <t>asistente@metalmac.net</t>
  </si>
  <si>
    <t>Sin respuesta  / Seguimiento 19-05</t>
  </si>
  <si>
    <t>Varios</t>
  </si>
  <si>
    <t>aaron.lopez@gxo.com, pedro.caballero@gxo.com, alejandro.perez004@gxo.com</t>
  </si>
  <si>
    <t>Propuesta enviada /  Seguimiento 19-05</t>
  </si>
  <si>
    <t>Cafexpress</t>
  </si>
  <si>
    <t>Cote</t>
  </si>
  <si>
    <t>Amphos 21</t>
  </si>
  <si>
    <t>Katherine Lecaros</t>
  </si>
  <si>
    <t>katherine.lecaros@amphos21.com</t>
  </si>
  <si>
    <t xml:space="preserve">Propuesta Enviada </t>
  </si>
  <si>
    <t>Grupo Metropol</t>
  </si>
  <si>
    <t>Claudia Pinilla</t>
  </si>
  <si>
    <t>cpinilla@grupometropol.cl</t>
  </si>
  <si>
    <t>Claudita confirma que esta semana valida (25-04) / Ver directo CQ</t>
  </si>
  <si>
    <t>Fundición las rosas</t>
  </si>
  <si>
    <t>Francisco Bollo</t>
  </si>
  <si>
    <t>fbollo@fundicionlasrosas.cl</t>
  </si>
  <si>
    <t xml:space="preserve">Sin respuesta </t>
  </si>
  <si>
    <t>LK tecnologia</t>
  </si>
  <si>
    <t>Valentina Pavez</t>
  </si>
  <si>
    <t>valentina@lk.cl</t>
  </si>
  <si>
    <t>Propuesta presenta error en tasa. Sin detalle de T2</t>
  </si>
  <si>
    <t>BITUMIX</t>
  </si>
  <si>
    <t>Fabiola / Clau</t>
  </si>
  <si>
    <t>Susana Barros</t>
  </si>
  <si>
    <t>susana.barros@bitumix.cl</t>
  </si>
  <si>
    <t>En revisión de propuesta enviada</t>
  </si>
  <si>
    <t>GEOINNOVA</t>
  </si>
  <si>
    <t>Francis Muñoz</t>
  </si>
  <si>
    <t>fmunoz@geoinnova.cl</t>
  </si>
  <si>
    <t>AgroSonda</t>
  </si>
  <si>
    <t>Pablo Jabalquinto</t>
  </si>
  <si>
    <t>pjabalquinto@agrosonda.cl</t>
  </si>
  <si>
    <t>Contacto realizado 19-05</t>
  </si>
  <si>
    <t>CAE</t>
  </si>
  <si>
    <t>Patricia Silva</t>
  </si>
  <si>
    <t>patsy.silva@cae.com</t>
  </si>
  <si>
    <t>No hay registro de propuesta enviada / Propuesta en BBI</t>
  </si>
  <si>
    <t>ACHOCLONADOS</t>
  </si>
  <si>
    <t>Valentina Peña</t>
  </si>
  <si>
    <t>valentina.pena@achoclonados.cl</t>
  </si>
  <si>
    <t xml:space="preserve">Propuesta enviada sin respuesta </t>
  </si>
  <si>
    <t>ENERFROST</t>
  </si>
  <si>
    <t>Fanny Arriagada</t>
  </si>
  <si>
    <t>fanny.arriagada@enerfrost.com</t>
  </si>
  <si>
    <t>Propuesta enviaada 09-06</t>
  </si>
  <si>
    <t>IMELSA</t>
  </si>
  <si>
    <t>Lili / Cami</t>
  </si>
  <si>
    <t>Edison Flores</t>
  </si>
  <si>
    <t>edison.flores@imelsa.cl</t>
  </si>
  <si>
    <t>Propuesta enviada el 30-05</t>
  </si>
  <si>
    <t>Colegio San Ignacio</t>
  </si>
  <si>
    <t>Lily</t>
  </si>
  <si>
    <t>Pia Coppa</t>
  </si>
  <si>
    <t>pia.coppa@csi.cl</t>
  </si>
  <si>
    <t>No hand efinido OTIC 19-11</t>
  </si>
  <si>
    <t xml:space="preserve">Matías  Barra </t>
  </si>
  <si>
    <t>mbarra@apsorad.cl</t>
  </si>
  <si>
    <t>Propuesta enviada 25-06</t>
  </si>
  <si>
    <t>Fundación Portas</t>
  </si>
  <si>
    <t>María de los Angeles</t>
  </si>
  <si>
    <t>mcardenas@fundacionportas.cl</t>
  </si>
  <si>
    <t>Disponibilidad para el 22 entre 10:00 a 12:00 horas</t>
  </si>
  <si>
    <t>FUNDACIÓN COANIQUEM</t>
  </si>
  <si>
    <t>Propuesta enviada 30-06</t>
  </si>
  <si>
    <t>CORPORACION PARA EL DESARROLLO DE SANTIAGO</t>
  </si>
  <si>
    <t>GEVIAL</t>
  </si>
  <si>
    <t>,</t>
  </si>
  <si>
    <t>Amelia Caris // Juan Araya</t>
  </si>
  <si>
    <t>Se envía propuesta 17-07</t>
  </si>
  <si>
    <t>INVINSA</t>
  </si>
  <si>
    <t>1% planilla</t>
  </si>
  <si>
    <t xml:space="preserve"> - </t>
  </si>
  <si>
    <t>Paula Barrios</t>
  </si>
  <si>
    <t>pbarrios@invinsa.cl</t>
  </si>
  <si>
    <t>NETAXION</t>
  </si>
  <si>
    <t>Melissa Testa</t>
  </si>
  <si>
    <t>mtesta@netaxion.net</t>
  </si>
  <si>
    <t>GROWING</t>
  </si>
  <si>
    <t>Pamela Armijo</t>
  </si>
  <si>
    <t>parmijo@growing.cl</t>
  </si>
  <si>
    <t>SALFA AUTOMOTRIZ</t>
  </si>
  <si>
    <t>Karina</t>
  </si>
  <si>
    <t xml:space="preserve">Tomas Briceno Montecinos </t>
  </si>
  <si>
    <t>tbricenom@salfa.cl</t>
  </si>
  <si>
    <t>WEIR MINERALS</t>
  </si>
  <si>
    <t>Paula Perez</t>
  </si>
  <si>
    <t>paula.perez@mail.weir</t>
  </si>
  <si>
    <t>Se realiza envío de la propuesta el día 23-07</t>
  </si>
  <si>
    <t>AMBIENTAL Y SECTORIAL</t>
  </si>
  <si>
    <t xml:space="preserve">MI TANI </t>
  </si>
  <si>
    <t>Recursos Humanos</t>
  </si>
  <si>
    <t>rrhh@mitani.cl</t>
  </si>
  <si>
    <t>NEWTRADE</t>
  </si>
  <si>
    <t>María Alejandra Arzulluz</t>
  </si>
  <si>
    <t>aarzalluz@newtrade.cl</t>
  </si>
  <si>
    <t>COLEGIO PILLIPPE COUSTEAU DE LA FLORIDA</t>
  </si>
  <si>
    <t>Christian</t>
  </si>
  <si>
    <t>admicolegio@gmail.com</t>
  </si>
  <si>
    <t>RECOVER</t>
  </si>
  <si>
    <t>Marlene</t>
  </si>
  <si>
    <t>recepcion@symrecover.cl</t>
  </si>
  <si>
    <t>MINERAL DRILLING</t>
  </si>
  <si>
    <t>Alejandra Espinoza</t>
  </si>
  <si>
    <t>alejandra.espinoza@mineraldrilling.com</t>
  </si>
  <si>
    <t>Enviar propuesta</t>
  </si>
  <si>
    <t>CUMPLO</t>
  </si>
  <si>
    <t>Carolina Armstrong</t>
  </si>
  <si>
    <t>carolina.armstrong@cumplo.com</t>
  </si>
  <si>
    <t xml:space="preserve">No sé quien la envió </t>
  </si>
  <si>
    <t>INGESAT</t>
  </si>
  <si>
    <t>Cristopher Munoz</t>
  </si>
  <si>
    <t>cristopher.munoz@ingesat.cl</t>
  </si>
  <si>
    <t>ISDIN</t>
  </si>
  <si>
    <t xml:space="preserve">Fabiola </t>
  </si>
  <si>
    <t>Estefanía Cerna</t>
  </si>
  <si>
    <t>Estefania.cerna@isdin.com</t>
  </si>
  <si>
    <t xml:space="preserve">DIMACOFI </t>
  </si>
  <si>
    <t>Gabriela Barrios</t>
  </si>
  <si>
    <t>gbarrios@dimacofi.cl</t>
  </si>
  <si>
    <t>MACLIDER</t>
  </si>
  <si>
    <t xml:space="preserve">Solange Naranjo </t>
  </si>
  <si>
    <t>solange.naranjo@maclider.cl</t>
  </si>
  <si>
    <t>Mando propuesta 25-11</t>
  </si>
  <si>
    <t>METALSHA</t>
  </si>
  <si>
    <t>Hector y Alejandro</t>
  </si>
  <si>
    <t>prevencionista1@metalhsa.cl</t>
  </si>
  <si>
    <t xml:space="preserve">Preferido Lili </t>
  </si>
  <si>
    <t>Francisca Anabalon</t>
  </si>
  <si>
    <t>francisca.anabalon@coanil.cl</t>
  </si>
  <si>
    <t>CLINICA TEERE</t>
  </si>
  <si>
    <t>Referido Intime</t>
  </si>
  <si>
    <t>Paulina Oteiza</t>
  </si>
  <si>
    <t>poteiza@clinicaterre.cl</t>
  </si>
  <si>
    <t xml:space="preserve">CONFUTURO </t>
  </si>
  <si>
    <t>CChC</t>
  </si>
  <si>
    <t>Cristian Silva</t>
  </si>
  <si>
    <t>csilvas@confuturo.cl</t>
  </si>
  <si>
    <t xml:space="preserve">DVP </t>
  </si>
  <si>
    <t>AGENCIABLANCO</t>
  </si>
  <si>
    <t xml:space="preserve">Fabi </t>
  </si>
  <si>
    <t>STRABAG</t>
  </si>
  <si>
    <t>Natalia Basualto</t>
  </si>
  <si>
    <t>natalia.basualto@strabag.com</t>
  </si>
  <si>
    <t>AFP CAPITAL</t>
  </si>
  <si>
    <t>CLAUDIA</t>
  </si>
  <si>
    <t xml:space="preserve">Nicole Nuñez </t>
  </si>
  <si>
    <t>Nicole.Nunez@AFPCapital.cl ; valentina.vio@sura.cl; Liliana.Morales@afpcapital.cl</t>
  </si>
  <si>
    <t>UNITED PIPELINE</t>
  </si>
  <si>
    <t>CANAL13 2026</t>
  </si>
  <si>
    <t xml:space="preserve">Patricio Contreras </t>
  </si>
  <si>
    <t>BANOTIC</t>
  </si>
  <si>
    <t>PLATAFORMA</t>
  </si>
  <si>
    <t>Fernanda Nuñez</t>
  </si>
  <si>
    <t>Fernanda.Nunez@fourpoints.com</t>
  </si>
  <si>
    <t>HOME MOBILI</t>
  </si>
  <si>
    <t>Manuel Martin / José Zapata</t>
  </si>
  <si>
    <t>mmartin@homemobili.cl ;jzapata@homemobili.cl</t>
  </si>
  <si>
    <t>ING. Y SERVICIOS PROPAMAT</t>
  </si>
  <si>
    <t xml:space="preserve">PROGESTIÓN </t>
  </si>
  <si>
    <t xml:space="preserve">David Correa </t>
  </si>
  <si>
    <t>david.correa@grupoprogestion.com</t>
  </si>
  <si>
    <t xml:space="preserve">Requiere Financimiento </t>
  </si>
  <si>
    <t>SACYR</t>
  </si>
  <si>
    <t>Lili/Kari</t>
  </si>
  <si>
    <t>Karina Correa</t>
  </si>
  <si>
    <t>kcmartinez@sacyr.com</t>
  </si>
  <si>
    <t>Enviada por Lili</t>
  </si>
  <si>
    <t>SIIGSA</t>
  </si>
  <si>
    <t>Constanza Pacheco</t>
  </si>
  <si>
    <t>cpacheco@siigsa.cl</t>
  </si>
  <si>
    <t xml:space="preserve">no tomarán OTIC año 2025, seguir en contacto año 2026. </t>
  </si>
  <si>
    <t>IDS (INDEPENDENT DRILLING SUPPLIES)</t>
  </si>
  <si>
    <t>Isadora Gallardo Aguilera (Externa)</t>
  </si>
  <si>
    <t>isadorag@adsesorame.cl</t>
  </si>
  <si>
    <t>Se envío logo 31-07 // Propuesta en elaboración</t>
  </si>
  <si>
    <t>Decathlon</t>
  </si>
  <si>
    <t>Rodrigo Cazanga</t>
  </si>
  <si>
    <t>Rodrigo.cazanga@decathlon.com</t>
  </si>
  <si>
    <t>En Marzo licitarán nuevamente</t>
  </si>
  <si>
    <t xml:space="preserve">Tanner </t>
  </si>
  <si>
    <t xml:space="preserve">Alfonso Flores </t>
  </si>
  <si>
    <t>alfonso.flores@tanner.cl</t>
  </si>
  <si>
    <t>Solicita Reunión presencial para el 25-02 11 a 12</t>
  </si>
  <si>
    <t>Canal 13</t>
  </si>
  <si>
    <t>Cristobal Osorio</t>
  </si>
  <si>
    <t>cosorio@13.cl</t>
  </si>
  <si>
    <t xml:space="preserve">28-04 confirma que quedaron con otra OTIC </t>
  </si>
  <si>
    <t>SURA</t>
  </si>
  <si>
    <t>Gabriela Helman</t>
  </si>
  <si>
    <t>gabriela.helman@surainvestments.com</t>
  </si>
  <si>
    <t>por correo 11-04</t>
  </si>
  <si>
    <t>Equifax</t>
  </si>
  <si>
    <t>Andres Pinchart</t>
  </si>
  <si>
    <t>andres.pinchart@equifax.com</t>
  </si>
  <si>
    <t>AeroSan</t>
  </si>
  <si>
    <t>Claudia / Coni</t>
  </si>
  <si>
    <t>Tasa total de 15%</t>
  </si>
  <si>
    <t>ZERVIZ</t>
  </si>
  <si>
    <t>Alejandra Canales</t>
  </si>
  <si>
    <t>alejandra.canales@zervizgroup.com</t>
  </si>
  <si>
    <t>Deciden no avanzar hasta comienzos del siguiente periodo (2026)</t>
  </si>
  <si>
    <t xml:space="preserve">NEBULAN </t>
  </si>
  <si>
    <t>Daniela Gonzalez</t>
  </si>
  <si>
    <t>daniela.gonzalez@nebulan.com</t>
  </si>
  <si>
    <t>SIMPLI</t>
  </si>
  <si>
    <t xml:space="preserve">Plataforma </t>
  </si>
  <si>
    <t>María Fernanda Ubilla</t>
  </si>
  <si>
    <t>mfernanda.ubilla@simplilatam.com</t>
  </si>
  <si>
    <t>Rechazan propuesta 01-12 Queda otra OTIC</t>
  </si>
  <si>
    <t>TradeMedical</t>
  </si>
  <si>
    <t>Javiera</t>
  </si>
  <si>
    <t>rrhh@trademedical.cl</t>
  </si>
  <si>
    <t>Se espera confirmación de si trabajan con otro OTIC o no</t>
  </si>
  <si>
    <t>NIU SUSHI</t>
  </si>
  <si>
    <t>Daniel Salazar</t>
  </si>
  <si>
    <t>daniel.salazar@niusushi.cl // giovanni.munoz@niusushi.cl</t>
  </si>
  <si>
    <t>En espera de 1% para envío de propuesta. Correo enviado 26-05</t>
  </si>
  <si>
    <t>JUST BURGER</t>
  </si>
  <si>
    <t>Kari / Clau</t>
  </si>
  <si>
    <t>Miguel Irala</t>
  </si>
  <si>
    <t>miguel.irala@justburger.com</t>
  </si>
  <si>
    <t xml:space="preserve">Se debe programar reunión para Jueves 15-05 Viernes 16-05 </t>
  </si>
  <si>
    <t>F&amp;L ingeniería</t>
  </si>
  <si>
    <t>Cristóbal Morales</t>
  </si>
  <si>
    <t>cmoralesp@fylingenieria.cl</t>
  </si>
  <si>
    <t>Se mantiene contacto para coordinar reunión</t>
  </si>
  <si>
    <t>AGROSUPER</t>
  </si>
  <si>
    <t>Bernardita Romero</t>
  </si>
  <si>
    <t>bromero@agrosuper.cl</t>
  </si>
  <si>
    <t>Se coordina reunión para el Lunes 4 de 16 a 17</t>
  </si>
  <si>
    <t>ATCO Sabinco</t>
  </si>
  <si>
    <t>Luisana Sandoval</t>
  </si>
  <si>
    <t>lsandoval@atcosabinco.com</t>
  </si>
  <si>
    <t>Propuesta enviada</t>
  </si>
  <si>
    <t>ivette.benitez@dvp.com</t>
  </si>
  <si>
    <t>Ivette Benitez</t>
  </si>
  <si>
    <t>Liliana.Morales@afpcapital.cl</t>
  </si>
  <si>
    <t>Liliana Morales</t>
  </si>
  <si>
    <t>SAAM</t>
  </si>
  <si>
    <t xml:space="preserve">Florencia Paz Hevia </t>
  </si>
  <si>
    <t>fhevias@saam.cl</t>
  </si>
  <si>
    <t xml:space="preserve">Conoce a don Michel </t>
  </si>
  <si>
    <t>Paulina Montes , Maite Jaque</t>
  </si>
  <si>
    <t>FR Group </t>
  </si>
  <si>
    <t>dsolsona@frgroup.cl</t>
  </si>
  <si>
    <t>Dianey Solsona A.</t>
  </si>
  <si>
    <t>antonio.castro@dorel.cl</t>
  </si>
  <si>
    <t>Antonio Castro</t>
  </si>
  <si>
    <t>MOREAU</t>
  </si>
  <si>
    <t>Paulina Soto y Fabiola Carcamo</t>
  </si>
  <si>
    <t>FLOW</t>
  </si>
  <si>
    <t>jurrutia@flow.cl</t>
  </si>
  <si>
    <t>Josefina Urrutia</t>
  </si>
  <si>
    <t>Tiene 3 Tasas 10.000.000 con 12%, 18.000.000 con 10% y 29.000.000 con 8%</t>
  </si>
  <si>
    <t xml:space="preserve">POLLA CHILENA </t>
  </si>
  <si>
    <t>Tiene dos tasas 17.000.000 con 8% y un 17.000.000 con un 15%,8% y 7%</t>
  </si>
  <si>
    <t>patricia.cuevas@pollachilena.cl , fabiola.ulloa@pollachilena.cl</t>
  </si>
  <si>
    <t>Patricia Cuevas y Fabiola Ulloa</t>
  </si>
  <si>
    <t>CORP. LA REINA</t>
  </si>
  <si>
    <t xml:space="preserve">CORP LAS CONDES </t>
  </si>
  <si>
    <t>Sin Respuesta</t>
  </si>
  <si>
    <t>psoto@moreau.ca; fcarcamo@moreau.ca</t>
  </si>
  <si>
    <t>CLEO</t>
  </si>
  <si>
    <t>Marzo</t>
  </si>
  <si>
    <t xml:space="preserve">Fernanda Perez </t>
  </si>
  <si>
    <t>fernanda.perez@cleo.cl</t>
  </si>
  <si>
    <t>Aportes de 4.000.000 mensuales hasta llegar a los 50M</t>
  </si>
  <si>
    <t>93545000-4</t>
  </si>
  <si>
    <t>Sociedad de Servicios Técnicos Geológicos Geotec Boyles Bros S.A</t>
  </si>
  <si>
    <t>GAUSS CONTROL</t>
  </si>
  <si>
    <t xml:space="preserve">Constanza Nuñez </t>
  </si>
  <si>
    <t>cnunez@gausscontrol.com</t>
  </si>
  <si>
    <t xml:space="preserve">GRUPO MARITEX </t>
  </si>
  <si>
    <t>FILL-LIF</t>
  </si>
  <si>
    <t>jfyanez@fill-lif.cl</t>
  </si>
  <si>
    <t>Juan Francisco</t>
  </si>
  <si>
    <t>do@grupomaritex.cl</t>
  </si>
  <si>
    <t>Maira Poblete</t>
  </si>
  <si>
    <t>79619240-2</t>
  </si>
  <si>
    <t>FR GROUP CORREDORES DE SEGUROS SPA</t>
  </si>
  <si>
    <t>CROSSNET</t>
  </si>
  <si>
    <t>mcriollo@crossnet.cl</t>
  </si>
  <si>
    <t>UNIVERSIDAD FINIS TERRAE</t>
  </si>
  <si>
    <t>fpinares@uft.cl ,kpoblete@uft.cl</t>
  </si>
  <si>
    <t>Karen Poblete</t>
  </si>
  <si>
    <t>acornejo@empiricaconsultores.cl</t>
  </si>
  <si>
    <t>GE VIAL</t>
  </si>
  <si>
    <t>Amelia Caris</t>
  </si>
  <si>
    <t>acaris@gevial.cl</t>
  </si>
  <si>
    <t>T-DEUDAS</t>
  </si>
  <si>
    <t>yulia@tusdeudas.com</t>
  </si>
  <si>
    <t xml:space="preserve">Invitación a Evento </t>
  </si>
  <si>
    <t>96995150-9</t>
  </si>
  <si>
    <t>Sura Data Chile S.a.</t>
  </si>
  <si>
    <t>87908100-9</t>
  </si>
  <si>
    <t>Sura Asset Management Chile S.a</t>
  </si>
  <si>
    <t>98000000-1</t>
  </si>
  <si>
    <t>Administradora De Fondos De Pensiones Capital S.a</t>
  </si>
  <si>
    <t>77851804-k</t>
  </si>
  <si>
    <t xml:space="preserve">Fr Group Seguros Generales </t>
  </si>
  <si>
    <t>HAULMER</t>
  </si>
  <si>
    <t>GENERICA(DON MICHEL)</t>
  </si>
  <si>
    <t>CASA ROYAL</t>
  </si>
  <si>
    <t>KEYPRO</t>
  </si>
  <si>
    <t xml:space="preserve">ALISERVICE </t>
  </si>
  <si>
    <t>GINO</t>
  </si>
  <si>
    <t>veronica.lagos@aliservice.cl</t>
  </si>
  <si>
    <t xml:space="preserve">Verónica Lagos </t>
  </si>
  <si>
    <t>cibarra@gino.cl</t>
  </si>
  <si>
    <t>COPEC</t>
  </si>
  <si>
    <t>ctobar@casaroyal.cl</t>
  </si>
  <si>
    <t xml:space="preserve">Cristobal Tobar </t>
  </si>
  <si>
    <t>bulloa@copec.cl</t>
  </si>
  <si>
    <t xml:space="preserve">Belen Ulloa </t>
  </si>
  <si>
    <t xml:space="preserve">Prospecto sin propuesta </t>
  </si>
  <si>
    <t>VOY AMERICA SANTIAGO</t>
  </si>
  <si>
    <t xml:space="preserve">Angelain Merino </t>
  </si>
  <si>
    <t>angelain.merino@voysantiago.cl</t>
  </si>
  <si>
    <t>METROPOL</t>
  </si>
  <si>
    <t xml:space="preserve">EVENTO IA </t>
  </si>
  <si>
    <t xml:space="preserve">Nicolle Campos, Francisca Anabalon </t>
  </si>
  <si>
    <t>ncampos@coaniquem.org ;francisca.anabalon@coanil.cl</t>
  </si>
  <si>
    <t>Carla Ibarra</t>
  </si>
  <si>
    <t>EVENTO</t>
  </si>
  <si>
    <t>Evento2</t>
  </si>
  <si>
    <t>F. COANIL</t>
  </si>
  <si>
    <t>77545580-2</t>
  </si>
  <si>
    <t>Inversiones Trektrading spa</t>
  </si>
  <si>
    <t>Uhco S.a.</t>
  </si>
  <si>
    <t>76641876-7</t>
  </si>
  <si>
    <t>76466068-4</t>
  </si>
  <si>
    <t xml:space="preserve">Alfonso Cornejo </t>
  </si>
  <si>
    <t>EMPIRICA CONSULTORES</t>
  </si>
  <si>
    <t xml:space="preserve">BREDENMASTER </t>
  </si>
  <si>
    <t>Empresa Perdida 2025 o anterior</t>
  </si>
  <si>
    <t xml:space="preserve">Roxana Lagos </t>
  </si>
  <si>
    <t>Propuesta Enviada por Lili</t>
  </si>
  <si>
    <t>96606310-6</t>
  </si>
  <si>
    <t>Abril</t>
  </si>
  <si>
    <t>claudia.olea@bredenmaster.com</t>
  </si>
  <si>
    <t>Claudia Olea</t>
  </si>
  <si>
    <t>Recuperada Kari / Negativo</t>
  </si>
  <si>
    <t>ECOPALLET</t>
  </si>
  <si>
    <t>MASSIVA</t>
  </si>
  <si>
    <t>76065151-6</t>
  </si>
  <si>
    <t>acaris@gevial.cl; jaraya@gevial.cl</t>
  </si>
  <si>
    <t>HOLDING WS</t>
  </si>
  <si>
    <t>Gema Hosima Gonzales</t>
  </si>
  <si>
    <t>gema.hosima@hws.cl</t>
  </si>
  <si>
    <t xml:space="preserve">VALORAMAS </t>
  </si>
  <si>
    <t>Nancy Palacios</t>
  </si>
  <si>
    <t>nsaenzpalacios@gmail.com</t>
  </si>
  <si>
    <t>Gabriela Ugalde</t>
  </si>
  <si>
    <t>Roberto Thompson</t>
  </si>
  <si>
    <t>F: +56 9 6136 6014</t>
  </si>
  <si>
    <t>Ana Miriam Riquelme</t>
  </si>
  <si>
    <t>F: +56 9 7253 3941</t>
  </si>
  <si>
    <t>Bárbara Parejas Bravo</t>
  </si>
  <si>
    <t>F: +56 9 5372 8122</t>
  </si>
  <si>
    <t>F: +56 9 5178 4323</t>
  </si>
  <si>
    <t>F: +56 9 8922 9391</t>
  </si>
  <si>
    <t>Tomás Gumucio, Gerente de Personas</t>
  </si>
  <si>
    <t>F: +56 9 8922 7296</t>
  </si>
  <si>
    <t>Tania Labbe</t>
  </si>
  <si>
    <t>F: +56 9 9440 4393</t>
  </si>
  <si>
    <t>RHCG 49</t>
  </si>
  <si>
    <t>6554359-1</t>
  </si>
  <si>
    <t>12845574-4</t>
  </si>
  <si>
    <t>SXVB62</t>
  </si>
  <si>
    <t xml:space="preserve"> 14398263-7</t>
  </si>
  <si>
    <t xml:space="preserve"> 15145092-k</t>
  </si>
  <si>
    <t xml:space="preserve"> 13687613-9</t>
  </si>
  <si>
    <t xml:space="preserve"> 9224917-4 </t>
  </si>
  <si>
    <t xml:space="preserve"> 13551262–1</t>
  </si>
  <si>
    <t>Tsjt21</t>
  </si>
  <si>
    <t>VGCZ35</t>
  </si>
  <si>
    <t>SPPP13</t>
  </si>
  <si>
    <t>swkv65</t>
  </si>
  <si>
    <t>SBVB 25</t>
  </si>
  <si>
    <t xml:space="preserve">Nombre </t>
  </si>
  <si>
    <t xml:space="preserve">Patente </t>
  </si>
  <si>
    <t xml:space="preserve">RUT </t>
  </si>
  <si>
    <t>Celular</t>
  </si>
  <si>
    <t xml:space="preserve">Empresa </t>
  </si>
  <si>
    <t>CCU</t>
  </si>
  <si>
    <t>WOM</t>
  </si>
  <si>
    <t>CIC</t>
  </si>
  <si>
    <t xml:space="preserve">Cargo </t>
  </si>
  <si>
    <t>Gerente Corporativo de Persona</t>
  </si>
  <si>
    <t>Directora de Valor Humano</t>
  </si>
  <si>
    <t>Gerente de Personas</t>
  </si>
  <si>
    <t>Gerente de Desarrollo</t>
  </si>
  <si>
    <t>IST</t>
  </si>
  <si>
    <t>Director de Gestión de Personas</t>
  </si>
  <si>
    <t>ENTEL</t>
  </si>
  <si>
    <t>CEO &amp; Founder Wikiflix</t>
  </si>
  <si>
    <t>WIKIFLIX</t>
  </si>
  <si>
    <t>Director de Personas</t>
  </si>
  <si>
    <t xml:space="preserve">UNIVERSIDAD DE LOS ANDES </t>
  </si>
  <si>
    <t>Miguel Figueroa</t>
  </si>
  <si>
    <t>LUCCHETTI</t>
  </si>
  <si>
    <t>⁠Cristobal Neupert</t>
  </si>
  <si>
    <t>F: +56984290768</t>
  </si>
  <si>
    <t>Nro</t>
  </si>
  <si>
    <t>Id Aporte</t>
  </si>
  <si>
    <t>#Year</t>
  </si>
  <si>
    <t>#Docu</t>
  </si>
  <si>
    <t>Rut</t>
  </si>
  <si>
    <t>Sucursal</t>
  </si>
  <si>
    <t>Monto</t>
  </si>
  <si>
    <t>Fecha</t>
  </si>
  <si>
    <t>FecCheque</t>
  </si>
  <si>
    <t>Tasa</t>
  </si>
  <si>
    <t>Tipo</t>
  </si>
  <si>
    <t>Modalidad</t>
  </si>
  <si>
    <t>Ejecutivo</t>
  </si>
  <si>
    <t>Glosa</t>
  </si>
  <si>
    <t>T1</t>
  </si>
  <si>
    <t>T2</t>
  </si>
  <si>
    <t>T3</t>
  </si>
  <si>
    <t>TX</t>
  </si>
  <si>
    <t>MtoAdm_AP</t>
  </si>
  <si>
    <t>MtoAdm_T1</t>
  </si>
  <si>
    <t>MtoAdm_T2</t>
  </si>
  <si>
    <t>MtoAdm_T3</t>
  </si>
  <si>
    <t>Tipo_Socio</t>
  </si>
  <si>
    <t>76.176.508-6</t>
  </si>
  <si>
    <t>Youtopia Holding S.a</t>
  </si>
  <si>
    <t>Ap Cap</t>
  </si>
  <si>
    <t>Santiago</t>
  </si>
  <si>
    <t>Directo</t>
  </si>
  <si>
    <t>Cosorio</t>
  </si>
  <si>
    <t>Aporte Período 2026</t>
  </si>
  <si>
    <t>Socio Nuevo 2026</t>
  </si>
  <si>
    <t>76.187.179-k</t>
  </si>
  <si>
    <t>Youtopia Trapenses Spa</t>
  </si>
  <si>
    <t>76.432.503-6</t>
  </si>
  <si>
    <t>Youtopia Salud Spa</t>
  </si>
  <si>
    <t>76.775.218-0</t>
  </si>
  <si>
    <t>Youtopia Isidora Spa</t>
  </si>
  <si>
    <t>77.223.245-4</t>
  </si>
  <si>
    <t>Youtopia Vitacura Spa</t>
  </si>
  <si>
    <t>77.836.523-5</t>
  </si>
  <si>
    <t>Younique Latam Spa</t>
  </si>
  <si>
    <t>76.466.068-4</t>
  </si>
  <si>
    <t>Sociedad Concesionaria Nuevo Pudahuel S.a.</t>
  </si>
  <si>
    <t>Lbravo</t>
  </si>
  <si>
    <t>76.344.044-3</t>
  </si>
  <si>
    <t>Audigestion Spa</t>
  </si>
  <si>
    <t>La Serena</t>
  </si>
  <si>
    <t>Gcontreras</t>
  </si>
  <si>
    <t>96.606.310-6</t>
  </si>
  <si>
    <t>Bredenmaster Spa</t>
  </si>
  <si>
    <t>Valarcon</t>
  </si>
  <si>
    <t>76.065.151-6</t>
  </si>
  <si>
    <t>Eco Servicios S.a</t>
  </si>
  <si>
    <t>77.545.580-2</t>
  </si>
  <si>
    <t>Inversiones Trektrading Spa</t>
  </si>
  <si>
    <t>Antofagasta</t>
  </si>
  <si>
    <t>Jmolina</t>
  </si>
  <si>
    <t>76.641.876-7</t>
  </si>
  <si>
    <t>93.545.000-4</t>
  </si>
  <si>
    <t>Sociedad De Servicios Técnicos Geológicos Geotec Boyles Bros S.a</t>
  </si>
  <si>
    <t>76.541.298-6</t>
  </si>
  <si>
    <t>Sociedad De Telemedicina Apsorad Spa</t>
  </si>
  <si>
    <t>Bsilva</t>
  </si>
  <si>
    <t>96.995.150-9</t>
  </si>
  <si>
    <t>87.908.100-9</t>
  </si>
  <si>
    <t>98.000.000-1</t>
  </si>
  <si>
    <t>77.851.804-k</t>
  </si>
  <si>
    <t>Fr Group Servicios Generales Spa</t>
  </si>
  <si>
    <t>79.619.240-2</t>
  </si>
  <si>
    <t>Fr Group Corredores De Seguros Spa</t>
  </si>
  <si>
    <t>76.047.265-4</t>
  </si>
  <si>
    <t>Comercializadora Skechers Chile Limitada</t>
  </si>
  <si>
    <t>96.768.160-1</t>
  </si>
  <si>
    <t>Hotelera Santa Magdalena S.a.</t>
  </si>
  <si>
    <t>70.885.500-6</t>
  </si>
  <si>
    <t>Universidad De Talca</t>
  </si>
  <si>
    <t>Maule</t>
  </si>
  <si>
    <t>Pmunoz</t>
  </si>
  <si>
    <t>Total general</t>
  </si>
  <si>
    <t>Suma de Monto</t>
  </si>
  <si>
    <t>76176508-6</t>
  </si>
  <si>
    <t>76187179-k</t>
  </si>
  <si>
    <t>76344044-3</t>
  </si>
  <si>
    <t>76432503-6</t>
  </si>
  <si>
    <t>76775218-0</t>
  </si>
  <si>
    <t>77223245-4</t>
  </si>
  <si>
    <t>77836523-5</t>
  </si>
  <si>
    <t xml:space="preserve">Estado Contacto </t>
  </si>
  <si>
    <t>EN GESTIÓN</t>
  </si>
  <si>
    <t>PROSPECTO</t>
  </si>
  <si>
    <t>Prospecto</t>
  </si>
  <si>
    <t>GEISER SEGURIDAD</t>
  </si>
  <si>
    <t>froque@geiserseguridad.cl, jgarcia@geiserseguridad.cl, geiserseguridad@outlook.com</t>
  </si>
  <si>
    <t>Jonathan Garcia</t>
  </si>
  <si>
    <t>AUDIGESTION</t>
  </si>
  <si>
    <t>Etiquetas de fila</t>
  </si>
  <si>
    <t>MONTO PROYECTADO APORTE</t>
  </si>
  <si>
    <t>Recuento distinto de HOLDING</t>
  </si>
  <si>
    <t>Adherida al OTIC</t>
  </si>
  <si>
    <t>Propuesta Enviada</t>
  </si>
  <si>
    <t xml:space="preserve">APORTE </t>
  </si>
  <si>
    <t>CANTIDAD</t>
  </si>
  <si>
    <t>APORTES</t>
  </si>
  <si>
    <t xml:space="preserve">INDICADORES </t>
  </si>
  <si>
    <t>PORCENTAJE</t>
  </si>
  <si>
    <t>71.015.300-0</t>
  </si>
  <si>
    <t>Corporacion De Desarrollo De La Comuna De San Vicente De Tagua Tagua</t>
  </si>
  <si>
    <t>Aporte Período 2025</t>
  </si>
  <si>
    <t>Socio Nuevo 2025</t>
  </si>
  <si>
    <t>78.924.030-2</t>
  </si>
  <si>
    <t>Implementos S.a</t>
  </si>
  <si>
    <t>81.949.100-3</t>
  </si>
  <si>
    <t>Corporación De Beneficencia Osorno</t>
  </si>
  <si>
    <t>Puerto Montt</t>
  </si>
  <si>
    <t>Cparada</t>
  </si>
  <si>
    <t>76.129.862-3</t>
  </si>
  <si>
    <t>Gastronomica Y Spa Turistico Coyhaique S.a</t>
  </si>
  <si>
    <t>87.765.000-6</t>
  </si>
  <si>
    <t xml:space="preserve">Comercial Ruver Ltda </t>
  </si>
  <si>
    <t>Concepción</t>
  </si>
  <si>
    <t>78.129.870-0</t>
  </si>
  <si>
    <t>Comercial Yolanda Ltda</t>
  </si>
  <si>
    <t>76.986.494-6</t>
  </si>
  <si>
    <t>Comercial Brisas Spa</t>
  </si>
  <si>
    <t>96.971.680-1</t>
  </si>
  <si>
    <t>Astilleros Calbuco S.a.</t>
  </si>
  <si>
    <t>95.632.000-3</t>
  </si>
  <si>
    <t>Pesquera La Portada S.a.</t>
  </si>
  <si>
    <t>94.365.000-4</t>
  </si>
  <si>
    <t>La Península S.a.</t>
  </si>
  <si>
    <t>79.797.990-2</t>
  </si>
  <si>
    <t>Invermar S.a.</t>
  </si>
  <si>
    <t>89.010.200-k</t>
  </si>
  <si>
    <t>Importadora Alsacia Spa</t>
  </si>
  <si>
    <t>78.297.510-2</t>
  </si>
  <si>
    <t>Medicina Técnica Ltda.</t>
  </si>
  <si>
    <t>77.204.971-4</t>
  </si>
  <si>
    <t xml:space="preserve">Vimal Chile Spa </t>
  </si>
  <si>
    <t>año</t>
  </si>
  <si>
    <t xml:space="preserve">MES </t>
  </si>
  <si>
    <t>Ene</t>
  </si>
  <si>
    <t>Feb</t>
  </si>
  <si>
    <t>Mar</t>
  </si>
  <si>
    <t>Abr</t>
  </si>
  <si>
    <t>Etiquetas de columna</t>
  </si>
  <si>
    <t>INDICADORES</t>
  </si>
  <si>
    <t>a.torrealba@lafrutologia.cl</t>
  </si>
  <si>
    <t>Andreina Torrealba</t>
  </si>
  <si>
    <t>Mayo</t>
  </si>
  <si>
    <t>CONTRAGASTO</t>
  </si>
  <si>
    <t xml:space="preserve">LA FUTOLOGIA </t>
  </si>
  <si>
    <t>SAESA</t>
  </si>
  <si>
    <t>Nicol Aguila</t>
  </si>
  <si>
    <t> nicol.aguila@saesa.cl</t>
  </si>
  <si>
    <t xml:space="preserve">ULTRAPORT </t>
  </si>
  <si>
    <t>Marcela Quinteros Pardo, Andrés Muñoz</t>
  </si>
  <si>
    <t xml:space="preserve"> mquinteros@ultraport.cl,  amunozr@ultraport.cl</t>
  </si>
  <si>
    <t xml:space="preserve">contacto arturo alvarez </t>
  </si>
  <si>
    <t>blevin@massiva.cl</t>
  </si>
  <si>
    <t xml:space="preserve">Barbara Levin V. </t>
  </si>
  <si>
    <t>NEXTIER</t>
  </si>
  <si>
    <t>CEMAQ</t>
  </si>
  <si>
    <t>ignacia.montecinos@cermaq.com</t>
  </si>
  <si>
    <t>Ignacia Montecinos</t>
  </si>
  <si>
    <t xml:space="preserve">VYF SISTEMAS </t>
  </si>
  <si>
    <t xml:space="preserve">Felix Araya </t>
  </si>
  <si>
    <t>felixaraya@vyfsistemas.cl</t>
  </si>
  <si>
    <t>CORDESA</t>
  </si>
  <si>
    <t>Yamira Pino</t>
  </si>
  <si>
    <t>ypino@cordesan.cl</t>
  </si>
  <si>
    <t>rmanquenirp@aerosan.com</t>
  </si>
  <si>
    <t>Rodrigo Manqueñir</t>
  </si>
  <si>
    <t>DE VICENTE PLASTICOS S.A.</t>
  </si>
  <si>
    <t>Mónica Criollo</t>
  </si>
  <si>
    <t>lisette.molina@keyproingenieria.com</t>
  </si>
  <si>
    <t>Lisette Molina</t>
  </si>
  <si>
    <t>jgordillo@nextier.cl</t>
  </si>
  <si>
    <t>Jorge Gordillo</t>
  </si>
  <si>
    <t>cristhian.gallardo@haulmer.com</t>
  </si>
  <si>
    <t>Cristian Gallardo</t>
  </si>
  <si>
    <t>Patsy Silva</t>
  </si>
  <si>
    <t>AFILIADA</t>
  </si>
  <si>
    <t>EVENTO DISNEY</t>
  </si>
  <si>
    <t>kari</t>
  </si>
  <si>
    <t>GXO</t>
  </si>
  <si>
    <t>Contacto 2</t>
  </si>
  <si>
    <t>Activo</t>
  </si>
  <si>
    <t>Inactivo</t>
  </si>
  <si>
    <t>Evento Disney</t>
  </si>
  <si>
    <t>NEWE HOPE ECOTECH</t>
  </si>
  <si>
    <t>tayse.kusterko@nhecotech.com</t>
  </si>
  <si>
    <t>Tayse Espinoza</t>
  </si>
  <si>
    <t>HOTEL NIPPON</t>
  </si>
  <si>
    <t>V eronica Silva</t>
  </si>
  <si>
    <t>vsilva@hotelnippon.cl</t>
  </si>
  <si>
    <t xml:space="preserve">Andrés León </t>
  </si>
  <si>
    <t xml:space="preserve">ENAP </t>
  </si>
  <si>
    <t>AFP Modelo</t>
  </si>
  <si>
    <t>DMC Mining</t>
  </si>
  <si>
    <t xml:space="preserve">WOM </t>
  </si>
  <si>
    <t>BIMBO</t>
  </si>
  <si>
    <t xml:space="preserve">AIEP </t>
  </si>
  <si>
    <t xml:space="preserve">Gabriela Carreño </t>
  </si>
  <si>
    <t>VEOLIA</t>
  </si>
  <si>
    <t xml:space="preserve">Carolina Eltit </t>
  </si>
  <si>
    <t xml:space="preserve">María Victoria Galeano </t>
  </si>
  <si>
    <t>Bárbara Parejas</t>
  </si>
  <si>
    <t>Javiera Martínez</t>
  </si>
  <si>
    <t>Fernando Velastin</t>
  </si>
  <si>
    <t>alejandra.oliva@cic.cl</t>
  </si>
  <si>
    <t>Alejandra Oliva</t>
  </si>
  <si>
    <t>Subgerente de Personas y RRLL</t>
  </si>
  <si>
    <t>Kärcher</t>
  </si>
  <si>
    <t>rodrigo.giudicissi@karcher.com</t>
  </si>
  <si>
    <t>Country Manager</t>
  </si>
  <si>
    <t>Rodrigo Giudicissi</t>
  </si>
  <si>
    <t xml:space="preserve">Jennifer Blest Roa </t>
  </si>
  <si>
    <t>Randstad</t>
  </si>
  <si>
    <t>jblest@randstad.cl</t>
  </si>
  <si>
    <t>Manager HSE &amp; Formación</t>
  </si>
  <si>
    <t>OXIQUIM S.A.</t>
  </si>
  <si>
    <t>david.millie@oxiquim.com</t>
  </si>
  <si>
    <t>HEAD DE DISTRIBUCIÓN COMERCIAL</t>
  </si>
  <si>
    <t>DAVID MILLIE</t>
  </si>
  <si>
    <t>Camila.altamirano@oxiquim.com</t>
  </si>
  <si>
    <t xml:space="preserve">Camila Altamirano </t>
  </si>
  <si>
    <t>Mariafernanda Jiménez</t>
  </si>
  <si>
    <t>Head of  Marketing &amp; Producto</t>
  </si>
  <si>
    <t>mariafernanda.jimenez@karcher.com</t>
  </si>
  <si>
    <t>Talentfinder Chile</t>
  </si>
  <si>
    <t xml:space="preserve">Gerente de Formación </t>
  </si>
  <si>
    <t>Macarena.valenzuela@talentfinder.cl</t>
  </si>
  <si>
    <t xml:space="preserve">Macarena Valenzuela </t>
  </si>
  <si>
    <t>daniela.plaza@tegaindustries.cl</t>
  </si>
  <si>
    <t>TEGA INTRUTRIES</t>
  </si>
  <si>
    <t>Daniela Plaza</t>
  </si>
  <si>
    <t>Head of Organizational Development.</t>
  </si>
  <si>
    <t>ATEX RESOURCES</t>
  </si>
  <si>
    <t>ELECTRONICA CASA ROYAL LIMITADA</t>
  </si>
  <si>
    <t>83030600-5</t>
  </si>
  <si>
    <t>Keypro Ingeniería SA</t>
  </si>
  <si>
    <t>76050082-8</t>
  </si>
  <si>
    <t>89689900-7</t>
  </si>
  <si>
    <t>mballotta@atexresources.com</t>
  </si>
  <si>
    <t xml:space="preserve">Michela Ballotta </t>
  </si>
  <si>
    <t>Senior HR Manager</t>
  </si>
  <si>
    <t>Priscila Reinoso</t>
  </si>
  <si>
    <t>BREDENMASTER</t>
  </si>
  <si>
    <t>NUEVO PUDAHUEL</t>
  </si>
  <si>
    <t>YOUTOPIA CLUB</t>
  </si>
  <si>
    <t>PSINET</t>
  </si>
  <si>
    <t>carolina.klenner@psinet.cl</t>
  </si>
  <si>
    <t>jhanmary.molina@psinet.cl</t>
  </si>
  <si>
    <t>Carolina Klenner</t>
  </si>
  <si>
    <t>Jhanmary Molina</t>
  </si>
  <si>
    <t>GBEAUTY</t>
  </si>
  <si>
    <t>catalina.mejias@gbeauty.cl</t>
  </si>
  <si>
    <t>Catalina Mejias</t>
  </si>
  <si>
    <t>gaston.rojas@airsafetycompany.com</t>
  </si>
  <si>
    <t xml:space="preserve">Gustavo Rojas </t>
  </si>
  <si>
    <t>AIR SAFETY COMPANY</t>
  </si>
  <si>
    <t>REDCARGO</t>
  </si>
  <si>
    <t>99562030-8</t>
  </si>
  <si>
    <t>Transportes Diaz e Hijos S.A.</t>
  </si>
  <si>
    <t>CORP LAS CONDES</t>
  </si>
  <si>
    <t>Nueva Ley Delitos</t>
  </si>
  <si>
    <t>Subgerente de Recursos Humanos</t>
  </si>
  <si>
    <t>Subgerente de Finanzas</t>
  </si>
  <si>
    <t>Daniela Muñoz</t>
  </si>
  <si>
    <t>Juan Pablo Muñoz</t>
  </si>
  <si>
    <t>dmunoz@newtrade.cl</t>
  </si>
  <si>
    <t>jmunoz@newtrade.cl</t>
  </si>
  <si>
    <t>Electrica Nueva Energía S.a</t>
  </si>
  <si>
    <t>Remoras Chile Spa</t>
  </si>
  <si>
    <t>Corporacion Cultural Las Condes</t>
  </si>
  <si>
    <t>71004200-4</t>
  </si>
  <si>
    <t>76045612-8</t>
  </si>
  <si>
    <t>76366910-6</t>
  </si>
  <si>
    <t xml:space="preserve">Electrica Nueva Energía </t>
  </si>
  <si>
    <t>REMORAS</t>
  </si>
  <si>
    <t>Dvp S.a.</t>
  </si>
  <si>
    <t>Keypro Ingeniería Sa</t>
  </si>
  <si>
    <t>Electronica Casa Royal Limitada</t>
  </si>
  <si>
    <t>Total</t>
  </si>
  <si>
    <t>Electrica Nueva Energía</t>
  </si>
  <si>
    <t xml:space="preserve">Prospecto </t>
  </si>
  <si>
    <t xml:space="preserve">META NUEVOS NEGOCIOS </t>
  </si>
  <si>
    <t>ZONA</t>
  </si>
  <si>
    <t>TOTAL</t>
  </si>
  <si>
    <t>Total AFILIADA</t>
  </si>
  <si>
    <t xml:space="preserve">Jefa de Recursos Humanos </t>
  </si>
  <si>
    <t>Correo seguimiento enviado 06-07</t>
  </si>
  <si>
    <t>Se solicita reunión almuerzo 06-07</t>
  </si>
  <si>
    <t>Business Partner Talento y Cultura</t>
  </si>
  <si>
    <t>Jefe Unidad Formacion y Aprendizaje</t>
  </si>
  <si>
    <t>Celular / Telefono</t>
  </si>
  <si>
    <t>Enviada Invitación a Café/ Almuerzo 06-07</t>
  </si>
  <si>
    <t xml:space="preserve">Jefe de Capacitación y Desarrollo Organizacional </t>
  </si>
  <si>
    <t>+569 90793011</t>
  </si>
  <si>
    <t xml:space="preserve">Jefe Selección &amp; Desarrollo Organizacional </t>
  </si>
  <si>
    <t>Enviado Correo seguimiento de propuesta 06-07</t>
  </si>
  <si>
    <t>Gerenta de Personas</t>
  </si>
  <si>
    <t>Claudita tiene contacto con Angel/ Preguntar si hacemos seguimiento</t>
  </si>
  <si>
    <t>+56 9 8502 4557</t>
  </si>
  <si>
    <t>Analista Senior de Recursos</t>
  </si>
  <si>
    <t>Subgerente de Desarrollo Organizacional</t>
  </si>
  <si>
    <t>Gerente de Capacitación</t>
  </si>
  <si>
    <t>Rechaza Propuesta</t>
  </si>
  <si>
    <t>Human Resource Business Parnet</t>
  </si>
  <si>
    <t>Human Resources Business Partner, Chile &amp; Perú</t>
  </si>
  <si>
    <t xml:space="preserve">Encargada de RRHH </t>
  </si>
  <si>
    <t>Generalista Recursos Humanos </t>
  </si>
  <si>
    <t>Gerente Personas &amp; DO</t>
  </si>
  <si>
    <t>Ingeniero en Nuevos Proyectos Desarrollo Organizacional </t>
  </si>
  <si>
    <t xml:space="preserve">Jefe de Personas </t>
  </si>
  <si>
    <t>Solicitud Reunión café Almuerzo 06-07</t>
  </si>
  <si>
    <t>Coordinadora Entrenamiento y Formación</t>
  </si>
  <si>
    <t>bsaltalamacchia@salfa.cl</t>
  </si>
  <si>
    <t>Bianca Saltalamacchia</t>
  </si>
  <si>
    <t>Analista Entrenamiento y Formación</t>
  </si>
  <si>
    <t>(56-9) 94459565</t>
  </si>
  <si>
    <t>ASSOCIATE, LEARNING &amp;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</si>
</sst>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0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color rgb="FF000000"/>
      <name val="Aptos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0"/>
      <name val="Calibri"/>
      <family val="2"/>
    </font>
    <font>
      <sz val="9"/>
      <color theme="0"/>
      <name val="Aptos Narrow"/>
      <family val="2"/>
      <scheme val="minor"/>
    </font>
    <font>
      <sz val="8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C7E8C8"/>
        <bgColor indexed="64"/>
      </patternFill>
    </fill>
    <fill>
      <patternFill patternType="solid">
        <fgColor rgb="FFF5C6C6"/>
        <bgColor indexed="64"/>
      </patternFill>
    </fill>
    <fill>
      <patternFill patternType="solid">
        <fgColor rgb="FFD3E4F0"/>
        <bgColor indexed="64"/>
      </patternFill>
    </fill>
    <fill>
      <patternFill patternType="solid">
        <fgColor rgb="FFFAD8B4"/>
        <bgColor indexed="64"/>
      </patternFill>
    </fill>
    <fill>
      <patternFill patternType="solid">
        <fgColor rgb="FFFFF4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AA39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</fills>
  <borders count="28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4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/>
    <xf numFmtId="42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8">
    <xf numFmtId="0" fontId="0" fillId="0" borderId="0" xfId="0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2" fontId="8" fillId="2" borderId="4" xfId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9" fillId="0" borderId="0" xfId="0" applyFont="1"/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42" fontId="9" fillId="0" borderId="2" xfId="1" applyFont="1" applyBorder="1" applyAlignment="1">
      <alignment horizontal="left"/>
    </xf>
    <xf numFmtId="9" fontId="9" fillId="0" borderId="2" xfId="1" applyNumberFormat="1" applyFont="1" applyBorder="1" applyAlignment="1">
      <alignment horizontal="center"/>
    </xf>
    <xf numFmtId="0" fontId="11" fillId="0" borderId="2" xfId="2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164" fontId="9" fillId="0" borderId="2" xfId="1" applyNumberFormat="1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42" fontId="9" fillId="0" borderId="9" xfId="1" applyFont="1" applyBorder="1" applyAlignment="1">
      <alignment horizontal="left"/>
    </xf>
    <xf numFmtId="9" fontId="9" fillId="0" borderId="9" xfId="1" applyNumberFormat="1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14" fontId="9" fillId="0" borderId="10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12" fillId="2" borderId="12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>
      <alignment horizontal="left" vertical="center" wrapText="1"/>
    </xf>
    <xf numFmtId="0" fontId="13" fillId="2" borderId="13" xfId="0" applyFont="1" applyFill="1" applyBorder="1" applyAlignment="1">
      <alignment horizontal="left" vertical="center" wrapText="1"/>
    </xf>
    <xf numFmtId="42" fontId="12" fillId="2" borderId="13" xfId="1" applyFont="1" applyFill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2" fillId="2" borderId="14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2" fontId="5" fillId="0" borderId="1" xfId="1" applyFont="1" applyFill="1" applyBorder="1" applyAlignment="1">
      <alignment horizontal="left"/>
    </xf>
    <xf numFmtId="9" fontId="5" fillId="0" borderId="1" xfId="0" applyNumberFormat="1" applyFont="1" applyBorder="1" applyAlignment="1">
      <alignment horizontal="left"/>
    </xf>
    <xf numFmtId="42" fontId="5" fillId="0" borderId="1" xfId="0" applyNumberFormat="1" applyFont="1" applyBorder="1" applyAlignment="1">
      <alignment horizontal="left"/>
    </xf>
    <xf numFmtId="42" fontId="5" fillId="0" borderId="1" xfId="1" applyFont="1" applyBorder="1" applyAlignment="1">
      <alignment horizontal="left"/>
    </xf>
    <xf numFmtId="14" fontId="5" fillId="0" borderId="16" xfId="0" applyNumberFormat="1" applyFont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3" fillId="0" borderId="1" xfId="2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42" fontId="5" fillId="0" borderId="1" xfId="3" applyFont="1" applyFill="1" applyBorder="1" applyAlignment="1">
      <alignment horizontal="left"/>
    </xf>
    <xf numFmtId="42" fontId="3" fillId="0" borderId="1" xfId="2" applyNumberFormat="1" applyBorder="1" applyAlignment="1">
      <alignment horizontal="left"/>
    </xf>
    <xf numFmtId="0" fontId="15" fillId="0" borderId="1" xfId="0" applyFont="1" applyBorder="1" applyAlignment="1">
      <alignment horizontal="left"/>
    </xf>
    <xf numFmtId="42" fontId="3" fillId="0" borderId="1" xfId="2" applyNumberFormat="1" applyFill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4" fillId="14" borderId="1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42" fontId="5" fillId="14" borderId="1" xfId="1" applyFont="1" applyFill="1" applyBorder="1" applyAlignment="1">
      <alignment horizontal="left"/>
    </xf>
    <xf numFmtId="9" fontId="5" fillId="14" borderId="1" xfId="0" applyNumberFormat="1" applyFont="1" applyFill="1" applyBorder="1" applyAlignment="1">
      <alignment horizontal="left"/>
    </xf>
    <xf numFmtId="42" fontId="5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left"/>
    </xf>
    <xf numFmtId="42" fontId="3" fillId="14" borderId="1" xfId="2" applyNumberFormat="1" applyFill="1" applyBorder="1" applyAlignment="1">
      <alignment horizontal="left"/>
    </xf>
    <xf numFmtId="14" fontId="5" fillId="14" borderId="16" xfId="0" applyNumberFormat="1" applyFont="1" applyFill="1" applyBorder="1" applyAlignment="1">
      <alignment horizontal="left"/>
    </xf>
    <xf numFmtId="9" fontId="5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2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5" fillId="15" borderId="1" xfId="0" applyFont="1" applyFill="1" applyBorder="1" applyAlignment="1">
      <alignment horizontal="left"/>
    </xf>
    <xf numFmtId="42" fontId="5" fillId="0" borderId="1" xfId="3" applyFont="1" applyBorder="1" applyAlignment="1">
      <alignment horizontal="left"/>
    </xf>
    <xf numFmtId="0" fontId="0" fillId="16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9" fontId="5" fillId="0" borderId="17" xfId="0" applyNumberFormat="1" applyFont="1" applyBorder="1" applyAlignment="1">
      <alignment horizontal="left"/>
    </xf>
    <xf numFmtId="42" fontId="5" fillId="0" borderId="17" xfId="1" applyFont="1" applyBorder="1" applyAlignment="1">
      <alignment horizontal="left"/>
    </xf>
    <xf numFmtId="0" fontId="0" fillId="0" borderId="17" xfId="0" applyBorder="1" applyAlignment="1">
      <alignment horizontal="left"/>
    </xf>
    <xf numFmtId="0" fontId="5" fillId="0" borderId="17" xfId="0" applyFont="1" applyBorder="1" applyAlignment="1">
      <alignment horizontal="left"/>
    </xf>
    <xf numFmtId="14" fontId="5" fillId="0" borderId="18" xfId="0" applyNumberFormat="1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42" fontId="5" fillId="0" borderId="19" xfId="1" applyFont="1" applyBorder="1" applyAlignment="1">
      <alignment horizontal="left"/>
    </xf>
    <xf numFmtId="42" fontId="5" fillId="0" borderId="17" xfId="0" applyNumberFormat="1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42" fontId="3" fillId="0" borderId="17" xfId="2" applyNumberFormat="1" applyBorder="1" applyAlignment="1">
      <alignment horizontal="left"/>
    </xf>
    <xf numFmtId="0" fontId="5" fillId="0" borderId="18" xfId="0" applyFont="1" applyBorder="1" applyAlignment="1">
      <alignment horizontal="left"/>
    </xf>
    <xf numFmtId="42" fontId="5" fillId="0" borderId="15" xfId="1" applyFont="1" applyBorder="1" applyAlignment="1">
      <alignment horizontal="left"/>
    </xf>
    <xf numFmtId="0" fontId="3" fillId="0" borderId="17" xfId="2" applyBorder="1" applyAlignment="1">
      <alignment horizontal="left"/>
    </xf>
    <xf numFmtId="42" fontId="5" fillId="0" borderId="17" xfId="1" applyFont="1" applyFill="1" applyBorder="1" applyAlignment="1">
      <alignment horizontal="left"/>
    </xf>
    <xf numFmtId="0" fontId="5" fillId="15" borderId="17" xfId="0" applyFont="1" applyFill="1" applyBorder="1" applyAlignment="1">
      <alignment horizontal="left"/>
    </xf>
    <xf numFmtId="42" fontId="5" fillId="0" borderId="19" xfId="3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10" fontId="5" fillId="0" borderId="17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2" fontId="0" fillId="0" borderId="0" xfId="1" applyFont="1" applyAlignment="1">
      <alignment horizontal="left"/>
    </xf>
    <xf numFmtId="0" fontId="16" fillId="0" borderId="0" xfId="0" applyFont="1" applyAlignment="1">
      <alignment horizontal="left"/>
    </xf>
    <xf numFmtId="42" fontId="0" fillId="0" borderId="0" xfId="0" applyNumberFormat="1" applyAlignment="1">
      <alignment horizontal="left"/>
    </xf>
    <xf numFmtId="42" fontId="0" fillId="16" borderId="0" xfId="1" applyFont="1" applyFill="1"/>
    <xf numFmtId="0" fontId="10" fillId="0" borderId="2" xfId="0" applyFont="1" applyBorder="1" applyAlignment="1">
      <alignment horizontal="center"/>
    </xf>
    <xf numFmtId="0" fontId="4" fillId="17" borderId="15" xfId="0" applyFont="1" applyFill="1" applyBorder="1" applyAlignment="1">
      <alignment horizontal="left"/>
    </xf>
    <xf numFmtId="0" fontId="4" fillId="17" borderId="18" xfId="0" applyFont="1" applyFill="1" applyBorder="1" applyAlignment="1">
      <alignment horizontal="center"/>
    </xf>
    <xf numFmtId="0" fontId="5" fillId="17" borderId="17" xfId="0" applyFont="1" applyFill="1" applyBorder="1" applyAlignment="1">
      <alignment horizontal="left"/>
    </xf>
    <xf numFmtId="42" fontId="5" fillId="17" borderId="19" xfId="1" applyFont="1" applyFill="1" applyBorder="1" applyAlignment="1">
      <alignment horizontal="left"/>
    </xf>
    <xf numFmtId="9" fontId="5" fillId="17" borderId="17" xfId="0" applyNumberFormat="1" applyFont="1" applyFill="1" applyBorder="1" applyAlignment="1">
      <alignment horizontal="left"/>
    </xf>
    <xf numFmtId="42" fontId="5" fillId="17" borderId="17" xfId="0" applyNumberFormat="1" applyFont="1" applyFill="1" applyBorder="1" applyAlignment="1">
      <alignment horizontal="left"/>
    </xf>
    <xf numFmtId="0" fontId="5" fillId="17" borderId="1" xfId="0" applyFont="1" applyFill="1" applyBorder="1" applyAlignment="1">
      <alignment horizontal="left"/>
    </xf>
    <xf numFmtId="42" fontId="5" fillId="17" borderId="17" xfId="1" applyFont="1" applyFill="1" applyBorder="1" applyAlignment="1">
      <alignment horizontal="left"/>
    </xf>
    <xf numFmtId="14" fontId="5" fillId="17" borderId="18" xfId="0" applyNumberFormat="1" applyFont="1" applyFill="1" applyBorder="1" applyAlignment="1">
      <alignment horizontal="left"/>
    </xf>
    <xf numFmtId="0" fontId="0" fillId="17" borderId="0" xfId="0" applyFill="1" applyAlignment="1">
      <alignment horizontal="left"/>
    </xf>
    <xf numFmtId="0" fontId="6" fillId="17" borderId="1" xfId="0" applyFont="1" applyFill="1" applyBorder="1" applyAlignment="1">
      <alignment horizontal="left"/>
    </xf>
    <xf numFmtId="42" fontId="5" fillId="17" borderId="1" xfId="1" applyFont="1" applyFill="1" applyBorder="1" applyAlignment="1">
      <alignment horizontal="left"/>
    </xf>
    <xf numFmtId="0" fontId="4" fillId="17" borderId="1" xfId="0" applyFont="1" applyFill="1" applyBorder="1" applyAlignment="1">
      <alignment horizontal="left"/>
    </xf>
    <xf numFmtId="0" fontId="4" fillId="17" borderId="1" xfId="0" applyFont="1" applyFill="1" applyBorder="1" applyAlignment="1">
      <alignment horizontal="center"/>
    </xf>
    <xf numFmtId="9" fontId="5" fillId="17" borderId="1" xfId="0" applyNumberFormat="1" applyFont="1" applyFill="1" applyBorder="1" applyAlignment="1">
      <alignment horizontal="left"/>
    </xf>
    <xf numFmtId="42" fontId="5" fillId="17" borderId="1" xfId="0" applyNumberFormat="1" applyFont="1" applyFill="1" applyBorder="1" applyAlignment="1">
      <alignment horizontal="left"/>
    </xf>
    <xf numFmtId="0" fontId="3" fillId="17" borderId="1" xfId="2" applyFill="1" applyBorder="1" applyAlignment="1">
      <alignment horizontal="left"/>
    </xf>
    <xf numFmtId="14" fontId="5" fillId="17" borderId="16" xfId="0" applyNumberFormat="1" applyFont="1" applyFill="1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1" fillId="0" borderId="9" xfId="2" applyFont="1" applyBorder="1" applyAlignment="1">
      <alignment horizontal="left"/>
    </xf>
    <xf numFmtId="0" fontId="8" fillId="3" borderId="4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/>
    </xf>
    <xf numFmtId="0" fontId="4" fillId="15" borderId="18" xfId="0" applyFont="1" applyFill="1" applyBorder="1" applyAlignment="1">
      <alignment horizontal="left"/>
    </xf>
    <xf numFmtId="0" fontId="4" fillId="15" borderId="16" xfId="0" applyFont="1" applyFill="1" applyBorder="1" applyAlignment="1">
      <alignment horizontal="left"/>
    </xf>
    <xf numFmtId="0" fontId="12" fillId="3" borderId="13" xfId="0" applyFont="1" applyFill="1" applyBorder="1" applyAlignment="1">
      <alignment horizontal="left" vertical="center" wrapText="1"/>
    </xf>
    <xf numFmtId="0" fontId="4" fillId="15" borderId="17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left"/>
    </xf>
    <xf numFmtId="0" fontId="3" fillId="18" borderId="17" xfId="2" applyFill="1" applyBorder="1" applyAlignment="1">
      <alignment horizontal="left"/>
    </xf>
    <xf numFmtId="0" fontId="3" fillId="0" borderId="2" xfId="2" applyBorder="1"/>
    <xf numFmtId="164" fontId="9" fillId="0" borderId="9" xfId="1" applyNumberFormat="1" applyFont="1" applyBorder="1" applyAlignment="1">
      <alignment horizontal="center"/>
    </xf>
    <xf numFmtId="0" fontId="10" fillId="0" borderId="2" xfId="0" applyFont="1" applyBorder="1"/>
    <xf numFmtId="0" fontId="3" fillId="0" borderId="2" xfId="2" applyBorder="1" applyAlignment="1">
      <alignment horizontal="left"/>
    </xf>
    <xf numFmtId="0" fontId="4" fillId="20" borderId="1" xfId="0" applyFont="1" applyFill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10" fillId="0" borderId="10" xfId="0" applyFont="1" applyBorder="1"/>
    <xf numFmtId="42" fontId="5" fillId="15" borderId="17" xfId="1" applyFont="1" applyFill="1" applyBorder="1" applyAlignment="1">
      <alignment horizontal="left"/>
    </xf>
    <xf numFmtId="42" fontId="3" fillId="17" borderId="1" xfId="2" applyNumberFormat="1" applyFill="1" applyBorder="1" applyAlignment="1">
      <alignment horizontal="left"/>
    </xf>
    <xf numFmtId="0" fontId="3" fillId="0" borderId="0" xfId="2" applyBorder="1" applyAlignment="1">
      <alignment horizontal="left"/>
    </xf>
    <xf numFmtId="14" fontId="5" fillId="15" borderId="18" xfId="0" applyNumberFormat="1" applyFont="1" applyFill="1" applyBorder="1" applyAlignment="1">
      <alignment horizontal="left"/>
    </xf>
    <xf numFmtId="0" fontId="9" fillId="0" borderId="2" xfId="0" applyFont="1" applyBorder="1"/>
    <xf numFmtId="0" fontId="0" fillId="0" borderId="0" xfId="0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3" fontId="0" fillId="0" borderId="0" xfId="0" applyNumberFormat="1"/>
    <xf numFmtId="14" fontId="0" fillId="0" borderId="0" xfId="0" applyNumberFormat="1"/>
    <xf numFmtId="0" fontId="0" fillId="0" borderId="0" xfId="0" pivotButton="1"/>
    <xf numFmtId="42" fontId="0" fillId="0" borderId="0" xfId="0" applyNumberFormat="1"/>
    <xf numFmtId="42" fontId="0" fillId="0" borderId="0" xfId="0" applyNumberFormat="1" applyAlignment="1">
      <alignment horizontal="center"/>
    </xf>
    <xf numFmtId="1" fontId="0" fillId="0" borderId="0" xfId="0" applyNumberFormat="1"/>
    <xf numFmtId="14" fontId="0" fillId="0" borderId="0" xfId="0" applyNumberFormat="1" applyAlignment="1">
      <alignment horizontal="center"/>
    </xf>
    <xf numFmtId="0" fontId="18" fillId="22" borderId="21" xfId="0" applyFont="1" applyFill="1" applyBorder="1"/>
    <xf numFmtId="0" fontId="0" fillId="0" borderId="21" xfId="0" applyBorder="1"/>
    <xf numFmtId="0" fontId="19" fillId="23" borderId="0" xfId="0" applyFont="1" applyFill="1"/>
    <xf numFmtId="0" fontId="19" fillId="23" borderId="0" xfId="0" applyFont="1" applyFill="1" applyAlignment="1">
      <alignment horizontal="center"/>
    </xf>
    <xf numFmtId="0" fontId="0" fillId="24" borderId="0" xfId="0" applyFill="1" applyAlignment="1">
      <alignment horizontal="left"/>
    </xf>
    <xf numFmtId="9" fontId="0" fillId="0" borderId="0" xfId="0" applyNumberFormat="1" applyAlignment="1">
      <alignment horizontal="center"/>
    </xf>
    <xf numFmtId="9" fontId="0" fillId="24" borderId="0" xfId="0" applyNumberFormat="1" applyFill="1" applyAlignment="1">
      <alignment horizontal="center"/>
    </xf>
    <xf numFmtId="42" fontId="0" fillId="24" borderId="0" xfId="0" applyNumberFormat="1" applyFill="1" applyAlignment="1">
      <alignment horizontal="center"/>
    </xf>
    <xf numFmtId="0" fontId="19" fillId="23" borderId="0" xfId="0" applyFont="1" applyFill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22" xfId="0" applyFont="1" applyBorder="1" applyAlignment="1">
      <alignment horizontal="left"/>
    </xf>
    <xf numFmtId="0" fontId="3" fillId="0" borderId="17" xfId="2" applyFill="1" applyBorder="1" applyAlignment="1">
      <alignment horizontal="left"/>
    </xf>
    <xf numFmtId="0" fontId="21" fillId="21" borderId="4" xfId="0" applyFont="1" applyFill="1" applyBorder="1" applyAlignment="1">
      <alignment horizontal="center" vertical="center" wrapText="1"/>
    </xf>
    <xf numFmtId="0" fontId="10" fillId="25" borderId="10" xfId="0" applyFont="1" applyFill="1" applyBorder="1"/>
    <xf numFmtId="42" fontId="9" fillId="0" borderId="2" xfId="1" applyFont="1" applyBorder="1" applyAlignment="1">
      <alignment horizontal="center"/>
    </xf>
    <xf numFmtId="42" fontId="9" fillId="0" borderId="0" xfId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26" borderId="10" xfId="0" applyFont="1" applyFill="1" applyBorder="1"/>
    <xf numFmtId="0" fontId="9" fillId="0" borderId="9" xfId="0" applyFont="1" applyBorder="1" applyAlignment="1">
      <alignment horizontal="center"/>
    </xf>
    <xf numFmtId="0" fontId="9" fillId="19" borderId="9" xfId="0" applyFont="1" applyFill="1" applyBorder="1" applyAlignment="1">
      <alignment horizontal="left"/>
    </xf>
    <xf numFmtId="42" fontId="22" fillId="27" borderId="2" xfId="1" applyFont="1" applyFill="1" applyBorder="1" applyAlignment="1">
      <alignment horizontal="center"/>
    </xf>
    <xf numFmtId="14" fontId="9" fillId="0" borderId="2" xfId="0" applyNumberFormat="1" applyFont="1" applyBorder="1" applyAlignment="1">
      <alignment horizontal="left"/>
    </xf>
    <xf numFmtId="0" fontId="11" fillId="0" borderId="7" xfId="2" applyFont="1" applyBorder="1" applyAlignment="1">
      <alignment horizontal="left"/>
    </xf>
    <xf numFmtId="14" fontId="9" fillId="0" borderId="9" xfId="0" applyNumberFormat="1" applyFont="1" applyBorder="1" applyAlignment="1">
      <alignment horizontal="left"/>
    </xf>
    <xf numFmtId="42" fontId="9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0" fontId="9" fillId="0" borderId="0" xfId="0" applyFont="1" applyAlignment="1">
      <alignment horizontal="left"/>
    </xf>
    <xf numFmtId="0" fontId="9" fillId="0" borderId="9" xfId="0" applyFont="1" applyBorder="1"/>
    <xf numFmtId="42" fontId="22" fillId="27" borderId="0" xfId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3" fillId="0" borderId="9" xfId="2" applyBorder="1" applyAlignment="1">
      <alignment horizontal="left"/>
    </xf>
    <xf numFmtId="0" fontId="11" fillId="0" borderId="0" xfId="2" applyFont="1" applyBorder="1" applyAlignment="1">
      <alignment horizontal="left"/>
    </xf>
    <xf numFmtId="42" fontId="0" fillId="0" borderId="0" xfId="1" applyFont="1"/>
    <xf numFmtId="0" fontId="0" fillId="24" borderId="0" xfId="0" applyFill="1"/>
    <xf numFmtId="0" fontId="0" fillId="15" borderId="0" xfId="0" applyFill="1" applyAlignment="1">
      <alignment horizontal="left"/>
    </xf>
    <xf numFmtId="42" fontId="0" fillId="15" borderId="0" xfId="0" applyNumberFormat="1" applyFill="1" applyAlignment="1">
      <alignment horizontal="center"/>
    </xf>
    <xf numFmtId="0" fontId="0" fillId="24" borderId="0" xfId="0" applyFill="1" applyAlignment="1">
      <alignment horizontal="center"/>
    </xf>
    <xf numFmtId="0" fontId="18" fillId="23" borderId="25" xfId="0" applyFont="1" applyFill="1" applyBorder="1" applyAlignment="1">
      <alignment horizontal="center"/>
    </xf>
    <xf numFmtId="42" fontId="2" fillId="0" borderId="27" xfId="0" applyNumberFormat="1" applyFont="1" applyBorder="1"/>
    <xf numFmtId="9" fontId="2" fillId="0" borderId="27" xfId="4" applyFont="1" applyBorder="1"/>
    <xf numFmtId="42" fontId="2" fillId="24" borderId="26" xfId="0" applyNumberFormat="1" applyFont="1" applyFill="1" applyBorder="1" applyAlignment="1">
      <alignment horizontal="center"/>
    </xf>
    <xf numFmtId="0" fontId="10" fillId="20" borderId="10" xfId="0" applyFont="1" applyFill="1" applyBorder="1"/>
    <xf numFmtId="0" fontId="10" fillId="20" borderId="10" xfId="0" applyFont="1" applyFill="1" applyBorder="1" applyAlignment="1">
      <alignment horizontal="left"/>
    </xf>
    <xf numFmtId="0" fontId="23" fillId="0" borderId="0" xfId="0" applyFont="1"/>
    <xf numFmtId="0" fontId="18" fillId="23" borderId="27" xfId="0" applyFont="1" applyFill="1" applyBorder="1" applyAlignment="1">
      <alignment horizontal="center"/>
    </xf>
  </cellXfs>
  <cellStyles count="5">
    <cellStyle name="Hipervínculo" xfId="2" builtinId="8"/>
    <cellStyle name="Moneda [0]" xfId="1" builtinId="7"/>
    <cellStyle name="Moneda [0] 2" xfId="3" xr:uid="{2ADD46B7-ECFB-43BB-9879-40B19FB35375}"/>
    <cellStyle name="Normal" xfId="0" builtinId="0"/>
    <cellStyle name="Porcentaje" xfId="4" builtinId="5"/>
  </cellStyles>
  <dxfs count="249">
    <dxf>
      <fill>
        <patternFill>
          <bgColor rgb="FFC7E8C8"/>
        </patternFill>
      </fill>
    </dxf>
    <dxf>
      <fill>
        <patternFill>
          <bgColor rgb="FFC7E8C8"/>
        </patternFill>
      </fill>
    </dxf>
    <dxf>
      <fill>
        <patternFill>
          <bgColor rgb="FFD3E4F0"/>
        </patternFill>
      </fill>
    </dxf>
    <dxf>
      <fill>
        <patternFill>
          <bgColor rgb="FFFAD8B4"/>
        </patternFill>
      </fill>
    </dxf>
    <dxf>
      <fill>
        <patternFill>
          <bgColor rgb="FFF5C6C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BBDEFB"/>
        </patternFill>
      </fill>
    </dxf>
    <dxf>
      <fill>
        <patternFill>
          <bgColor rgb="FFE1BEE7"/>
        </patternFill>
      </fill>
    </dxf>
    <dxf>
      <fill>
        <patternFill>
          <bgColor rgb="FFFFCDD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b val="0"/>
        <i val="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7E8C8"/>
        </patternFill>
      </fill>
    </dxf>
    <dxf>
      <fill>
        <patternFill>
          <bgColor rgb="FFC7E8C8"/>
        </patternFill>
      </fill>
    </dxf>
    <dxf>
      <fill>
        <patternFill>
          <bgColor rgb="FFD3E4F0"/>
        </patternFill>
      </fill>
    </dxf>
    <dxf>
      <fill>
        <patternFill>
          <bgColor rgb="FFFAD8B4"/>
        </patternFill>
      </fill>
    </dxf>
    <dxf>
      <fill>
        <patternFill>
          <bgColor rgb="FFF5C6C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7E8C8"/>
        </patternFill>
      </fill>
    </dxf>
    <dxf>
      <fill>
        <patternFill>
          <bgColor rgb="FFFAD8B4"/>
        </patternFill>
      </fill>
    </dxf>
    <dxf>
      <fill>
        <patternFill>
          <bgColor rgb="FFFFF4B3"/>
        </patternFill>
      </fill>
    </dxf>
    <dxf>
      <fill>
        <patternFill>
          <bgColor rgb="FFF5C6C6"/>
        </patternFill>
      </fill>
    </dxf>
    <dxf>
      <fill>
        <patternFill>
          <bgColor rgb="FFD3E4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</font>
      <alignment horizont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0"/>
      </font>
      <alignment horizont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0"/>
      </font>
      <alignment horizont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0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0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strike val="0"/>
        <outline val="0"/>
        <shadow val="0"/>
        <u val="none"/>
        <vertAlign val="baseline"/>
        <sz val="10"/>
      </font>
      <alignment horizont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0"/>
      </font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3" formatCode="#,##0"/>
    </dxf>
    <dxf>
      <font>
        <color theme="0"/>
      </font>
      <fill>
        <patternFill patternType="solid">
          <fgColor indexed="64"/>
          <bgColor rgb="FFAA3925"/>
        </patternFill>
      </fill>
      <alignment horizontal="center"/>
    </dxf>
    <dxf>
      <alignment horizontal="center"/>
    </dxf>
    <dxf>
      <alignment horizontal="center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theme="0"/>
      </font>
    </dxf>
    <dxf>
      <fill>
        <patternFill patternType="solid">
          <bgColor rgb="FFAA3925"/>
        </patternFill>
      </fill>
    </dxf>
    <dxf>
      <numFmt numFmtId="32" formatCode="_ &quot;$&quot;* #,##0_ ;_ &quot;$&quot;* \-#,##0_ ;_ &quot;$&quot;* &quot;-&quot;_ ;_ @_ "/>
    </dxf>
    <dxf>
      <font>
        <color theme="0"/>
      </font>
      <fill>
        <patternFill patternType="solid">
          <fgColor indexed="64"/>
          <bgColor rgb="FFAA3925"/>
        </patternFill>
      </fill>
      <alignment horizontal="center"/>
    </dxf>
    <dxf>
      <alignment horizontal="center"/>
    </dxf>
    <dxf>
      <alignment horizontal="center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theme="0"/>
      </font>
    </dxf>
    <dxf>
      <fill>
        <patternFill patternType="solid">
          <bgColor rgb="FFAA3925"/>
        </patternFill>
      </fill>
    </dxf>
    <dxf>
      <numFmt numFmtId="32" formatCode="_ &quot;$&quot;* #,##0_ ;_ &quot;$&quot;* \-#,##0_ ;_ &quot;$&quot;* &quot;-&quot;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2" formatCode="_ &quot;$&quot;* #,##0_ ;_ &quot;$&quot;* \-#,##0_ ;_ &quot;$&quot;* &quot;-&quot;_ ;_ @_ "/>
    </dxf>
    <dxf>
      <font>
        <color theme="0"/>
      </font>
    </dxf>
    <dxf>
      <font>
        <color theme="0"/>
      </font>
    </dxf>
    <dxf>
      <fill>
        <patternFill>
          <bgColor rgb="FFAA3925"/>
        </patternFill>
      </fill>
    </dxf>
    <dxf>
      <fill>
        <patternFill>
          <bgColor rgb="FFAA3925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theme="0"/>
      </font>
    </dxf>
    <dxf>
      <font>
        <color theme="0"/>
      </font>
    </dxf>
    <dxf>
      <fill>
        <patternFill>
          <bgColor rgb="FFAA3925"/>
        </patternFill>
      </fill>
    </dxf>
    <dxf>
      <fill>
        <patternFill>
          <bgColor rgb="FFAA3925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AA3925"/>
        </patternFill>
      </fill>
    </dxf>
    <dxf>
      <fill>
        <patternFill patternType="solid">
          <bgColor rgb="FFAA3925"/>
        </patternFill>
      </fill>
    </dxf>
    <dxf>
      <numFmt numFmtId="14" formatCode="0.00%"/>
    </dxf>
    <dxf>
      <alignment horizontal="center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/>
        <top style="thin">
          <color rgb="FFDDDDDD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rgb="FFDDDDDD"/>
        </left>
        <right/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DDDDD"/>
        </left>
        <right/>
        <top style="thin">
          <color rgb="FFDDDDD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rgb="FFDDDDDD"/>
        </right>
        <top style="thin">
          <color rgb="FFDDDDDD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textRotation="0" indent="0" justifyLastLine="0" shrinkToFit="0" readingOrder="0"/>
      <border diagonalUp="0" diagonalDown="0" outline="0">
        <left/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border>
        <top style="thin">
          <color rgb="FFDDDDDD"/>
        </top>
      </border>
    </dxf>
    <dxf>
      <alignment horizontal="left" textRotation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textRotation="0" indent="0" justifyLastLine="0" shrinkToFit="0" readingOrder="0"/>
    </dxf>
    <dxf>
      <border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strike val="0"/>
        <outline val="0"/>
        <shadow val="0"/>
        <vertAlign val="baseline"/>
        <sz val="9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2" formatCode="_ &quot;$&quot;* #,##0_ ;_ &quot;$&quot;* \-#,##0_ ;_ &quot;$&quot;* &quot;-&quot;_ ;_ @_ "/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2" tint="-0.249977111117893"/>
        </top>
        <bottom style="thin">
          <color theme="2" tint="-0.249977111117893"/>
        </bottom>
      </border>
    </dxf>
    <dxf>
      <border>
        <top style="thin">
          <color theme="2" tint="-0.249977111117893"/>
        </top>
      </border>
    </dxf>
    <dxf>
      <font>
        <b val="0"/>
      </font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strike val="0"/>
        <outline val="0"/>
        <shadow val="0"/>
        <vertAlign val="baseline"/>
        <sz val="9"/>
        <family val="2"/>
      </font>
    </dxf>
    <dxf>
      <border>
        <bottom style="thin">
          <color theme="2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</dxfs>
  <tableStyles count="0" defaultTableStyle="TableStyleMedium2" defaultPivotStyle="PivotStyleLight16"/>
  <colors>
    <mruColors>
      <color rgb="FFAA3925"/>
      <color rgb="FFE1BEE7"/>
      <color rgb="FFC8E6C9"/>
      <color rgb="FFFFCDD2"/>
      <color rgb="FFFFE0B2"/>
      <color rgb="FFFFF9C4"/>
      <color rgb="FFBBDEFB"/>
      <color rgb="FF2E7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[Seguimiento Nuevos Negocios 2026 V2.xlsx]Hoja4!TablaDinámica9</c:name>
    <c:fmtId val="1"/>
  </c:pivotSource>
  <c:chart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A392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990132767114232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5965311-A396-4060-BE32-C3DE82C612F1}" type="VALUE">
                  <a:rPr lang="en-US" b="1"/>
                  <a:pPr>
                    <a:defRPr/>
                  </a:pPr>
                  <a:t>[VALOR]</a:t>
                </a:fld>
                <a:endParaRPr lang="es-C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AA3925"/>
          </a:solidFill>
          <a:ln>
            <a:noFill/>
          </a:ln>
          <a:effectLst/>
        </c:spPr>
        <c:dLbl>
          <c:idx val="0"/>
          <c:layout>
            <c:manualLayout>
              <c:x val="2.4465464684899813E-2"/>
              <c:y val="-8.576004920014587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747533191778558E-2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0224AD-E911-4735-B192-D49DBCF5CDC3}" type="VALUE">
                  <a:rPr lang="en-US" b="1"/>
                  <a:pPr>
                    <a:defRPr/>
                  </a:pPr>
                  <a:t>[VALOR]</a:t>
                </a:fld>
                <a:endParaRPr lang="es-C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3980265534228528E-2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2A96721-8E8E-43C8-82A9-8D975E133AFD}" type="VALUE">
                  <a:rPr lang="en-US" b="1"/>
                  <a:pPr>
                    <a:defRPr/>
                  </a:pPr>
                  <a:t>[VALOR]</a:t>
                </a:fld>
                <a:endParaRPr lang="es-C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2232732342449907E-2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476A2AB-D1DC-4C5C-8036-E438ECB56DF9}" type="VALUE">
                  <a:rPr lang="en-US" b="1"/>
                  <a:pPr>
                    <a:defRPr/>
                  </a:pPr>
                  <a:t>[VALOR]</a:t>
                </a:fld>
                <a:endParaRPr lang="es-C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Hoja4!$B$19:$B$20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9AA-40CE-9C44-28A3416DC6F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9AA-40CE-9C44-28A3416DC6F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9AA-40CE-9C44-28A3416DC6F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9AA-40CE-9C44-28A3416DC6FA}"/>
              </c:ext>
            </c:extLst>
          </c:dPt>
          <c:dLbls>
            <c:dLbl>
              <c:idx val="0"/>
              <c:layout>
                <c:manualLayout>
                  <c:x val="-6.990132767114232E-3"/>
                  <c:y val="0"/>
                </c:manualLayout>
              </c:layout>
              <c:tx>
                <c:rich>
                  <a:bodyPr/>
                  <a:lstStyle/>
                  <a:p>
                    <a:fld id="{F5965311-A396-4060-BE32-C3DE82C612F1}" type="VALUE">
                      <a:rPr lang="en-US" b="1"/>
                      <a:pPr/>
                      <a:t>[VALOR]</a:t>
                    </a:fld>
                    <a:endParaRPr lang="es-CL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9AA-40CE-9C44-28A3416DC6FA}"/>
                </c:ext>
              </c:extLst>
            </c:dLbl>
            <c:dLbl>
              <c:idx val="1"/>
              <c:layout>
                <c:manualLayout>
                  <c:x val="-1.747533191778558E-2"/>
                  <c:y val="0"/>
                </c:manualLayout>
              </c:layout>
              <c:tx>
                <c:rich>
                  <a:bodyPr/>
                  <a:lstStyle/>
                  <a:p>
                    <a:fld id="{D00224AD-E911-4735-B192-D49DBCF5CDC3}" type="VALUE">
                      <a:rPr lang="en-US" b="1"/>
                      <a:pPr/>
                      <a:t>[VALOR]</a:t>
                    </a:fld>
                    <a:endParaRPr lang="es-CL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9AA-40CE-9C44-28A3416DC6FA}"/>
                </c:ext>
              </c:extLst>
            </c:dLbl>
            <c:dLbl>
              <c:idx val="2"/>
              <c:layout>
                <c:manualLayout>
                  <c:x val="-1.3980265534228528E-2"/>
                  <c:y val="0"/>
                </c:manualLayout>
              </c:layout>
              <c:tx>
                <c:rich>
                  <a:bodyPr/>
                  <a:lstStyle/>
                  <a:p>
                    <a:fld id="{72A96721-8E8E-43C8-82A9-8D975E133AFD}" type="VALUE">
                      <a:rPr lang="en-US" b="1"/>
                      <a:pPr/>
                      <a:t>[VALOR]</a:t>
                    </a:fld>
                    <a:endParaRPr lang="es-CL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9AA-40CE-9C44-28A3416DC6FA}"/>
                </c:ext>
              </c:extLst>
            </c:dLbl>
            <c:dLbl>
              <c:idx val="3"/>
              <c:layout>
                <c:manualLayout>
                  <c:x val="-1.2232732342449907E-2"/>
                  <c:y val="0"/>
                </c:manualLayout>
              </c:layout>
              <c:tx>
                <c:rich>
                  <a:bodyPr/>
                  <a:lstStyle/>
                  <a:p>
                    <a:fld id="{B476A2AB-D1DC-4C5C-8036-E438ECB56DF9}" type="VALUE">
                      <a:rPr lang="en-US" b="1"/>
                      <a:pPr/>
                      <a:t>[VALOR]</a:t>
                    </a:fld>
                    <a:endParaRPr lang="es-CL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9AA-40CE-9C44-28A3416DC6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Hoja4!$A$21:$A$25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Hoja4!$B$21:$B$25</c:f>
              <c:numCache>
                <c:formatCode>_("$"* #,##0_);_("$"* \(#,##0\);_("$"* "-"_);_(@_)</c:formatCode>
                <c:ptCount val="4"/>
                <c:pt idx="0">
                  <c:v>2976471</c:v>
                </c:pt>
                <c:pt idx="1">
                  <c:v>13832110</c:v>
                </c:pt>
                <c:pt idx="2">
                  <c:v>87165144</c:v>
                </c:pt>
                <c:pt idx="3">
                  <c:v>87570475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A-40CE-9C44-28A3416DC6FA}"/>
            </c:ext>
          </c:extLst>
        </c:ser>
        <c:ser>
          <c:idx val="1"/>
          <c:order val="1"/>
          <c:tx>
            <c:strRef>
              <c:f>Hoja4!$C$19:$C$20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AA392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9AA-40CE-9C44-28A3416DC6FA}"/>
              </c:ext>
            </c:extLst>
          </c:dPt>
          <c:dLbls>
            <c:dLbl>
              <c:idx val="1"/>
              <c:layout>
                <c:manualLayout>
                  <c:x val="2.4465464684899813E-2"/>
                  <c:y val="-8.576004920014587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AA-40CE-9C44-28A3416DC6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Hoja4!$A$21:$A$25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Hoja4!$C$21:$C$25</c:f>
              <c:numCache>
                <c:formatCode>_("$"* #,##0_);_("$"* \(#,##0\);_("$"* "-"_);_(@_)</c:formatCode>
                <c:ptCount val="4"/>
                <c:pt idx="0">
                  <c:v>120400000</c:v>
                </c:pt>
                <c:pt idx="1">
                  <c:v>12269881</c:v>
                </c:pt>
                <c:pt idx="2">
                  <c:v>140701933</c:v>
                </c:pt>
                <c:pt idx="3">
                  <c:v>134879032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AA-40CE-9C44-28A3416DC6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8865519"/>
        <c:axId val="628846799"/>
      </c:barChart>
      <c:catAx>
        <c:axId val="62886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28846799"/>
        <c:crosses val="autoZero"/>
        <c:auto val="1"/>
        <c:lblAlgn val="ctr"/>
        <c:lblOffset val="100"/>
        <c:noMultiLvlLbl val="0"/>
      </c:catAx>
      <c:valAx>
        <c:axId val="628846799"/>
        <c:scaling>
          <c:orientation val="minMax"/>
        </c:scaling>
        <c:delete val="1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62886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504824</xdr:colOff>
      <xdr:row>10</xdr:row>
      <xdr:rowOff>133350</xdr:rowOff>
    </xdr:from>
    <xdr:to>
      <xdr:col>14</xdr:col>
      <xdr:colOff>133350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873FA6-4292-A9B5-11F2-597D8B446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nfo_Areas/Licitaciones/2.%20Nuevos%20Negocios/0.%20Propuestas%20de%20Servicio%20(2021%20al%202025)/Seguimiento%20Nuevos%20Negocios%202025.xlsx" TargetMode="External"/><Relationship Id="rId2" Type="http://schemas.openxmlformats.org/officeDocument/2006/relationships/externalLinkPath" Target="file:///K:\Info_Areas\Licitaciones\2.%20Nuevos%20Negocios\0.%20Propuestas%20de%20Servicio%20(2021%20al%202025)\Seguimiento%20Nuevos%20Negocios%202025.xlsx" TargetMode="External"/><Relationship Id="rId1" Type="http://schemas.openxmlformats.org/officeDocument/2006/relationships/externalLinkPath" Target="/Info_Areas/Licitaciones/2.%20Nuevos%20Negocios/0.%20Propuestas%20de%20Servicio%20(2021%20al%202025)/Seguimiento%20Nuevos%20Negocio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Prospectos "/>
      <sheetName val="Hoja6"/>
      <sheetName val="Santiago "/>
      <sheetName val="Hoja2"/>
      <sheetName val="Aportes 2025"/>
      <sheetName val="Hoja3"/>
      <sheetName val="Hoja4"/>
      <sheetName val="Hoja5"/>
    </sheetNames>
    <sheetDataSet>
      <sheetData sheetId="0"/>
      <sheetData sheetId="1"/>
      <sheetData sheetId="2">
        <row r="96">
          <cell r="H96">
            <v>206915222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 Maldonado Suazo" refreshedDate="46141.622327546298" createdVersion="8" refreshedVersion="8" minRefreshableVersion="3" recordCount="54" xr:uid="{27080CDE-C654-41DE-BC66-59E777E108A8}">
  <cacheSource type="worksheet">
    <worksheetSource name="Tabla4"/>
  </cacheSource>
  <cacheFields count="27">
    <cacheField name="Nro" numFmtId="0">
      <sharedItems containsSemiMixedTypes="0" containsString="0" containsNumber="1" containsInteger="1" minValue="1" maxValue="31"/>
    </cacheField>
    <cacheField name="Id Aporte" numFmtId="0">
      <sharedItems containsSemiMixedTypes="0" containsString="0" containsNumber="1" containsInteger="1" minValue="62572" maxValue="70153"/>
    </cacheField>
    <cacheField name="#Year" numFmtId="0">
      <sharedItems containsSemiMixedTypes="0" containsString="0" containsNumber="1" containsInteger="1" minValue="0" maxValue="0"/>
    </cacheField>
    <cacheField name="#Docu" numFmtId="0">
      <sharedItems containsSemiMixedTypes="0" containsString="0" containsNumber="1" containsInteger="1" minValue="0" maxValue="0"/>
    </cacheField>
    <cacheField name="Rut" numFmtId="0">
      <sharedItems/>
    </cacheField>
    <cacheField name="Empresa " numFmtId="0">
      <sharedItems/>
    </cacheField>
    <cacheField name="Sucursal" numFmtId="0">
      <sharedItems containsSemiMixedTypes="0" containsString="0" containsNumber="1" containsInteger="1" minValue="1" maxValue="1"/>
    </cacheField>
    <cacheField name="Monto" numFmtId="0">
      <sharedItems containsString="0" containsBlank="1" containsNumber="1" containsInteger="1" minValue="4588" maxValue="120000000"/>
    </cacheField>
    <cacheField name="Fecha" numFmtId="14">
      <sharedItems containsSemiMixedTypes="0" containsNonDate="0" containsDate="1" containsString="0" minDate="2025-01-02T00:00:00" maxDate="2026-04-28T00:00:00"/>
    </cacheField>
    <cacheField name="MES " numFmtId="14">
      <sharedItems count="4">
        <s v="Abr"/>
        <s v="Mar"/>
        <s v="Feb"/>
        <s v="Ene"/>
      </sharedItems>
    </cacheField>
    <cacheField name="año" numFmtId="1">
      <sharedItems containsSemiMixedTypes="0" containsString="0" containsNumber="1" containsInteger="1" minValue="2025" maxValue="2026" count="2">
        <n v="2025"/>
        <n v="2026"/>
      </sharedItems>
    </cacheField>
    <cacheField name="FecCheque" numFmtId="0">
      <sharedItems containsNonDate="0" containsDate="1" containsString="0" containsBlank="1" minDate="2025-01-02T00:00:00" maxDate="2025-04-29T00:00:00"/>
    </cacheField>
    <cacheField name="Tasa" numFmtId="0">
      <sharedItems containsSemiMixedTypes="0" containsString="0" containsNumber="1" containsInteger="1" minValue="4" maxValue="15"/>
    </cacheField>
    <cacheField name="Tipo" numFmtId="0">
      <sharedItems/>
    </cacheField>
    <cacheField name="Zona" numFmtId="0">
      <sharedItems/>
    </cacheField>
    <cacheField name="Modalidad" numFmtId="0">
      <sharedItems/>
    </cacheField>
    <cacheField name="Ejecutivo" numFmtId="0">
      <sharedItems/>
    </cacheField>
    <cacheField name="Glosa" numFmtId="0">
      <sharedItems/>
    </cacheField>
    <cacheField name="T1" numFmtId="0">
      <sharedItems containsSemiMixedTypes="0" containsString="0" containsNumber="1" containsInteger="1" minValue="0" maxValue="15"/>
    </cacheField>
    <cacheField name="T2" numFmtId="0">
      <sharedItems containsSemiMixedTypes="0" containsString="0" containsNumber="1" containsInteger="1" minValue="0" maxValue="13"/>
    </cacheField>
    <cacheField name="T3" numFmtId="0">
      <sharedItems containsSemiMixedTypes="0" containsString="0" containsNumber="1" containsInteger="1" minValue="0" maxValue="0"/>
    </cacheField>
    <cacheField name="TX" numFmtId="0">
      <sharedItems containsNonDate="0" containsString="0" containsBlank="1"/>
    </cacheField>
    <cacheField name="MtoAdm_AP" numFmtId="0">
      <sharedItems containsSemiMixedTypes="0" containsString="0" containsNumber="1" containsInteger="1" minValue="0" maxValue="15600000"/>
    </cacheField>
    <cacheField name="MtoAdm_T1" numFmtId="0">
      <sharedItems containsSemiMixedTypes="0" containsString="0" containsNumber="1" containsInteger="1" minValue="0" maxValue="4011877"/>
    </cacheField>
    <cacheField name="MtoAdm_T2" numFmtId="0">
      <sharedItems containsSemiMixedTypes="0" containsString="0" containsNumber="1" containsInteger="1" minValue="0" maxValue="15600000"/>
    </cacheField>
    <cacheField name="MtoAdm_T3" numFmtId="0">
      <sharedItems containsSemiMixedTypes="0" containsString="0" containsNumber="1" containsInteger="1" minValue="0" maxValue="0"/>
    </cacheField>
    <cacheField name="Tipo_Soc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 Maldonado Suazo" refreshedDate="46195.338707754629" createdVersion="8" refreshedVersion="8" minRefreshableVersion="3" recordCount="58" xr:uid="{27AC32E0-E596-42BE-BDAA-6BDA470DF8C6}">
  <cacheSource type="worksheet">
    <worksheetSource ref="A1:Y59" sheet="Hoja1"/>
  </cacheSource>
  <cacheFields count="25">
    <cacheField name="Nro" numFmtId="0">
      <sharedItems containsSemiMixedTypes="0" containsString="0" containsNumber="1" containsInteger="1" minValue="1" maxValue="58"/>
    </cacheField>
    <cacheField name="Id Aporte" numFmtId="0">
      <sharedItems containsSemiMixedTypes="0" containsString="0" containsNumber="1" containsInteger="1" minValue="69213" maxValue="70728"/>
    </cacheField>
    <cacheField name="#Year" numFmtId="0">
      <sharedItems containsSemiMixedTypes="0" containsString="0" containsNumber="1" containsInteger="1" minValue="0" maxValue="0"/>
    </cacheField>
    <cacheField name="#Docu" numFmtId="0">
      <sharedItems containsSemiMixedTypes="0" containsString="0" containsNumber="1" containsInteger="1" minValue="0" maxValue="0"/>
    </cacheField>
    <cacheField name="Rut" numFmtId="0">
      <sharedItems count="28">
        <s v="77.545.580-2"/>
        <s v="93.545.000-4"/>
        <s v="76.045.612-8"/>
        <s v="76.466.068-4"/>
        <s v="76.047.265-4"/>
        <s v="76.366.910-6"/>
        <s v="96.995.150-9"/>
        <s v="87.908.100-9"/>
        <s v="71.004.200-4"/>
        <s v="89.689.900-7"/>
        <s v="76.641.876-7"/>
        <s v="98.000.000-1"/>
        <s v="76.065.151-6"/>
        <s v="76.050.082-8"/>
        <s v="76.541.298-6"/>
        <s v="83.030.600-5"/>
        <s v="70.885.500-6"/>
        <s v="76.344.044-3"/>
        <s v="76.432.503-6"/>
        <s v="76.176.508-6"/>
        <s v="76.187.179-k"/>
        <s v="77.836.523-5"/>
        <s v="76.775.218-0"/>
        <s v="77.223.245-4"/>
        <s v="96.606.310-6"/>
        <s v="77.851.804-k"/>
        <s v="79.619.240-2"/>
        <s v="96.768.160-1"/>
      </sharedItems>
    </cacheField>
    <cacheField name="Empresa " numFmtId="0">
      <sharedItems count="28">
        <s v="Inversiones Trektrading Spa"/>
        <s v="Sociedad De Servicios Técnicos Geológicos Geotec Boyles Bros S.a"/>
        <s v="Electrica Nueva Energía S.a"/>
        <s v="Sociedad Concesionaria Nuevo Pudahuel S.a."/>
        <s v="Comercializadora Skechers Chile Limitada"/>
        <s v="Remoras Chile Spa"/>
        <s v="Sura Data Chile S.a."/>
        <s v="Sura Asset Management Chile S.a"/>
        <s v="Corporacion Cultural Las Condes"/>
        <s v="Dvp S.a."/>
        <s v="Uhco S.a."/>
        <s v="Administradora De Fondos De Pensiones Capital S.a"/>
        <s v="Eco Servicios S.a"/>
        <s v="Keypro Ingeniería Sa"/>
        <s v="Sociedad De Telemedicina Apsorad Spa"/>
        <s v="Electronica Casa Royal Limitada"/>
        <s v="Universidad De Talca"/>
        <s v="Audigestion Spa"/>
        <s v="Youtopia Salud Spa"/>
        <s v="Youtopia Holding S.a"/>
        <s v="Youtopia Trapenses Spa"/>
        <s v="Younique Latam Spa"/>
        <s v="Youtopia Isidora Spa"/>
        <s v="Youtopia Vitacura Spa"/>
        <s v="Bredenmaster Spa"/>
        <s v="Fr Group Servicios Generales Spa"/>
        <s v="Fr Group Corredores De Seguros Spa"/>
        <s v="Hotelera Santa Magdalena S.a."/>
      </sharedItems>
    </cacheField>
    <cacheField name="Sucursal" numFmtId="0">
      <sharedItems containsSemiMixedTypes="0" containsString="0" containsNumber="1" containsInteger="1" minValue="1" maxValue="1"/>
    </cacheField>
    <cacheField name="Monto" numFmtId="3">
      <sharedItems containsSemiMixedTypes="0" containsString="0" containsNumber="1" containsInteger="1" minValue="150000" maxValue="120000000"/>
    </cacheField>
    <cacheField name="Fecha" numFmtId="14">
      <sharedItems containsSemiMixedTypes="0" containsNonDate="0" containsDate="1" containsString="0" minDate="2026-01-12T00:00:00" maxDate="2026-06-20T00:00:00"/>
    </cacheField>
    <cacheField name="FecCheque" numFmtId="0">
      <sharedItems containsNonDate="0" containsString="0" containsBlank="1"/>
    </cacheField>
    <cacheField name="Tasa" numFmtId="0">
      <sharedItems containsSemiMixedTypes="0" containsString="0" containsNumber="1" containsInteger="1" minValue="4" maxValue="15"/>
    </cacheField>
    <cacheField name="Tipo" numFmtId="0">
      <sharedItems/>
    </cacheField>
    <cacheField name="Zona" numFmtId="0">
      <sharedItems count="6">
        <s v="Antofagasta"/>
        <s v="Concepción"/>
        <s v="Santiago"/>
        <s v="Puerto Montt"/>
        <s v="Maule"/>
        <s v="La Serena"/>
      </sharedItems>
    </cacheField>
    <cacheField name="Modalidad" numFmtId="0">
      <sharedItems/>
    </cacheField>
    <cacheField name="Ejecutivo" numFmtId="0">
      <sharedItems/>
    </cacheField>
    <cacheField name="Glosa" numFmtId="0">
      <sharedItems/>
    </cacheField>
    <cacheField name="T1" numFmtId="0">
      <sharedItems containsSemiMixedTypes="0" containsString="0" containsNumber="1" containsInteger="1" minValue="0" maxValue="15"/>
    </cacheField>
    <cacheField name="T2" numFmtId="0">
      <sharedItems containsSemiMixedTypes="0" containsString="0" containsNumber="1" containsInteger="1" minValue="0" maxValue="13"/>
    </cacheField>
    <cacheField name="T3" numFmtId="0">
      <sharedItems containsSemiMixedTypes="0" containsString="0" containsNumber="1" containsInteger="1" minValue="0" maxValue="0"/>
    </cacheField>
    <cacheField name="TX" numFmtId="0">
      <sharedItems containsNonDate="0" containsString="0" containsBlank="1"/>
    </cacheField>
    <cacheField name="MtoAdm_AP" numFmtId="0">
      <sharedItems containsSemiMixedTypes="0" containsString="0" containsNumber="1" containsInteger="1" minValue="15000" maxValue="15600000"/>
    </cacheField>
    <cacheField name="MtoAdm_T1" numFmtId="0">
      <sharedItems containsSemiMixedTypes="0" containsString="0" containsNumber="1" containsInteger="1" minValue="0" maxValue="2650000"/>
    </cacheField>
    <cacheField name="MtoAdm_T2" numFmtId="0">
      <sharedItems containsSemiMixedTypes="0" containsString="0" containsNumber="1" containsInteger="1" minValue="0" maxValue="15600000"/>
    </cacheField>
    <cacheField name="MtoAdm_T3" numFmtId="0">
      <sharedItems containsSemiMixedTypes="0" containsString="0" containsNumber="1" containsInteger="1" minValue="0" maxValue="0"/>
    </cacheField>
    <cacheField name="Tipo_Soc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 Maldonado Suazo" refreshedDate="46195.341868634256" createdVersion="8" refreshedVersion="8" minRefreshableVersion="3" recordCount="171" xr:uid="{02B238B4-867E-422F-8F8F-D653F846A902}">
  <cacheSource type="worksheet">
    <worksheetSource name="Tabla1"/>
  </cacheSource>
  <cacheFields count="25">
    <cacheField name="N°" numFmtId="0">
      <sharedItems containsString="0" containsBlank="1" containsNumber="1" containsInteger="1" minValue="1" maxValue="143"/>
    </cacheField>
    <cacheField name="HOLDING" numFmtId="0">
      <sharedItems/>
    </cacheField>
    <cacheField name="Estado Contacto " numFmtId="0">
      <sharedItems/>
    </cacheField>
    <cacheField name="RUT" numFmtId="0">
      <sharedItems containsBlank="1"/>
    </cacheField>
    <cacheField name="Razón Social" numFmtId="0">
      <sharedItems containsBlank="1"/>
    </cacheField>
    <cacheField name="EVENTO" numFmtId="0">
      <sharedItems containsBlank="1"/>
    </cacheField>
    <cacheField name="Indicador" numFmtId="0">
      <sharedItems containsBlank="1" count="10">
        <s v="Relación profesional previa"/>
        <s v="Propuesta Enviada año anterior"/>
        <s v="Página web"/>
        <s v="Recuperada – Nuevos Negocios"/>
        <s v="Referido OTEC / Proveedor"/>
        <s v="Recuperada – Área Comercial"/>
        <s v="Referido Cliente"/>
        <s v="Licitación"/>
        <s v="Prospecto"/>
        <m u="1"/>
      </sharedItems>
    </cacheField>
    <cacheField name="Evento2" numFmtId="0">
      <sharedItems containsBlank="1"/>
    </cacheField>
    <cacheField name="Zona" numFmtId="0">
      <sharedItems/>
    </cacheField>
    <cacheField name="Monto 1% u Aporte " numFmtId="42">
      <sharedItems containsString="0" containsBlank="1" containsNumber="1" containsInteger="1" minValue="0" maxValue="680000000"/>
    </cacheField>
    <cacheField name="Tasa Propuesta Administración OTIC" numFmtId="0">
      <sharedItems containsString="0" containsBlank="1" containsNumber="1" minValue="0" maxValue="0.15"/>
    </cacheField>
    <cacheField name="Monto Admisnistración " numFmtId="42">
      <sharedItems containsSemiMixedTypes="0" containsString="0" containsNumber="1" minValue="0" maxValue="25000000"/>
    </cacheField>
    <cacheField name="OTIC Actual" numFmtId="0">
      <sharedItems containsBlank="1"/>
    </cacheField>
    <cacheField name="Mes Envío Propuesta" numFmtId="0">
      <sharedItems containsBlank="1" containsMixedTypes="1" containsNumber="1" containsInteger="1" minValue="2025" maxValue="2026"/>
    </cacheField>
    <cacheField name="Jefa de Cartera Asignada " numFmtId="0">
      <sharedItems/>
    </cacheField>
    <cacheField name="Estado " numFmtId="0">
      <sharedItems/>
    </cacheField>
    <cacheField name="Aporte Ingresado" numFmtId="42">
      <sharedItems containsSemiMixedTypes="0" containsString="0" containsNumber="1" containsInteger="1" minValue="0" maxValue="240000000"/>
    </cacheField>
    <cacheField name="Diferencia " numFmtId="42">
      <sharedItems containsSemiMixedTypes="0" containsString="0" containsNumber="1" containsInteger="1" minValue="-680000000" maxValue="113859329"/>
    </cacheField>
    <cacheField name="Fecha Autoriza Propuesta" numFmtId="42">
      <sharedItems containsBlank="1"/>
    </cacheField>
    <cacheField name="Contacto " numFmtId="0">
      <sharedItems containsBlank="1"/>
    </cacheField>
    <cacheField name="Contacto 2" numFmtId="0">
      <sharedItems containsBlank="1"/>
    </cacheField>
    <cacheField name="Correo" numFmtId="0">
      <sharedItems containsBlank="1"/>
    </cacheField>
    <cacheField name="Cargo " numFmtId="0">
      <sharedItems containsBlank="1"/>
    </cacheField>
    <cacheField name="Comentarios (Acciones / Reuniones)" numFmtId="0">
      <sharedItems containsBlank="1"/>
    </cacheField>
    <cacheField name="Fecha Reunión " numFmtId="0">
      <sharedItems containsDate="1" containsBlank="1" containsMixedTypes="1" minDate="2026-01-07T00:00:00" maxDate="2026-05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ina Maldonado Suazo" refreshedDate="46195.347039004628" backgroundQuery="1" createdVersion="8" refreshedVersion="8" minRefreshableVersion="3" recordCount="0" supportSubquery="1" supportAdvancedDrill="1" xr:uid="{B8B97568-9999-4703-9EB8-0A34055562E6}">
  <cacheSource type="external" connectionId="1"/>
  <cacheFields count="4">
    <cacheField name="[Measures].[Suma de Monto 1% u Aporte]" caption="Suma de Monto 1% u Aporte" numFmtId="0" hierarchy="29" level="32767"/>
    <cacheField name="[Measures].[Suma de Aporte Ingresado]" caption="Suma de Aporte Ingresado" numFmtId="0" hierarchy="30" level="32767"/>
    <cacheField name="[Measures].[Recuento de RUT]" caption="Recuento de RUT" numFmtId="0" hierarchy="31" level="32767"/>
    <cacheField name="[Tabla1].[Estado Contacto].[Estado Contacto]" caption="Estado Contacto" numFmtId="0" hierarchy="2" level="1">
      <sharedItems count="3">
        <s v="AFILIADA"/>
        <s v="EN GESTIÓN"/>
        <s v="PROSPECTO"/>
      </sharedItems>
    </cacheField>
  </cacheFields>
  <cacheHierarchies count="33">
    <cacheHierarchy uniqueName="[Tabla1].[N°]" caption="N°" attribute="1" defaultMemberUniqueName="[Tabla1].[N°].[All]" allUniqueName="[Tabla1].[N°].[All]" dimensionUniqueName="[Tabla1]" displayFolder="" count="0" memberValueDatatype="20" unbalanced="0"/>
    <cacheHierarchy uniqueName="[Tabla1].[HOLDING]" caption="HOLDING" attribute="1" defaultMemberUniqueName="[Tabla1].[HOLDING].[All]" allUniqueName="[Tabla1].[HOLDING].[All]" dimensionUniqueName="[Tabla1]" displayFolder="" count="0" memberValueDatatype="130" unbalanced="0"/>
    <cacheHierarchy uniqueName="[Tabla1].[Estado Contacto]" caption="Estado Contacto" attribute="1" defaultMemberUniqueName="[Tabla1].[Estado Contacto].[All]" allUniqueName="[Tabla1].[Estado Contacto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RUT]" caption="RUT" attribute="1" defaultMemberUniqueName="[Tabla1].[RUT].[All]" allUniqueName="[Tabla1].[RUT].[All]" dimensionUniqueName="[Tabla1]" displayFolder="" count="0" memberValueDatatype="130" unbalanced="0"/>
    <cacheHierarchy uniqueName="[Tabla1].[Razón Social]" caption="Razón Social" attribute="1" defaultMemberUniqueName="[Tabla1].[Razón Social].[All]" allUniqueName="[Tabla1].[Razón Social].[All]" dimensionUniqueName="[Tabla1]" displayFolder="" count="0" memberValueDatatype="130" unbalanced="0"/>
    <cacheHierarchy uniqueName="[Tabla1].[EVENTO]" caption="EVENTO" attribute="1" defaultMemberUniqueName="[Tabla1].[EVENTO].[All]" allUniqueName="[Tabla1].[EVENTO].[All]" dimensionUniqueName="[Tabla1]" displayFolder="" count="0" memberValueDatatype="130" unbalanced="0"/>
    <cacheHierarchy uniqueName="[Tabla1].[Indicador]" caption="Indicador" attribute="1" defaultMemberUniqueName="[Tabla1].[Indicador].[All]" allUniqueName="[Tabla1].[Indicador].[All]" dimensionUniqueName="[Tabla1]" displayFolder="" count="0" memberValueDatatype="130" unbalanced="0"/>
    <cacheHierarchy uniqueName="[Tabla1].[Evento2]" caption="Evento2" attribute="1" defaultMemberUniqueName="[Tabla1].[Evento2].[All]" allUniqueName="[Tabla1].[Evento2].[All]" dimensionUniqueName="[Tabla1]" displayFolder="" count="0" memberValueDatatype="130" unbalanced="0"/>
    <cacheHierarchy uniqueName="[Tabla1].[Zona]" caption="Zona" attribute="1" defaultMemberUniqueName="[Tabla1].[Zona].[All]" allUniqueName="[Tabla1].[Zona].[All]" dimensionUniqueName="[Tabla1]" displayFolder="" count="0" memberValueDatatype="130" unbalanced="0"/>
    <cacheHierarchy uniqueName="[Tabla1].[Monto 1% u Aporte]" caption="Monto 1% u Aporte" attribute="1" defaultMemberUniqueName="[Tabla1].[Monto 1% u Aporte].[All]" allUniqueName="[Tabla1].[Monto 1% u Aporte].[All]" dimensionUniqueName="[Tabla1]" displayFolder="" count="0" memberValueDatatype="20" unbalanced="0"/>
    <cacheHierarchy uniqueName="[Tabla1].[Tasa Propuesta Administración OTIC]" caption="Tasa Propuesta Administración OTIC" attribute="1" defaultMemberUniqueName="[Tabla1].[Tasa Propuesta Administración OTIC].[All]" allUniqueName="[Tabla1].[Tasa Propuesta Administración OTIC].[All]" dimensionUniqueName="[Tabla1]" displayFolder="" count="0" memberValueDatatype="5" unbalanced="0"/>
    <cacheHierarchy uniqueName="[Tabla1].[Monto Admisnistración]" caption="Monto Admisnistración" attribute="1" defaultMemberUniqueName="[Tabla1].[Monto Admisnistración].[All]" allUniqueName="[Tabla1].[Monto Admisnistración].[All]" dimensionUniqueName="[Tabla1]" displayFolder="" count="0" memberValueDatatype="5" unbalanced="0"/>
    <cacheHierarchy uniqueName="[Tabla1].[OTIC Actual]" caption="OTIC Actual" attribute="1" defaultMemberUniqueName="[Tabla1].[OTIC Actual].[All]" allUniqueName="[Tabla1].[OTIC Actual].[All]" dimensionUniqueName="[Tabla1]" displayFolder="" count="0" memberValueDatatype="130" unbalanced="0"/>
    <cacheHierarchy uniqueName="[Tabla1].[Mes Envío Propuesta]" caption="Mes Envío Propuesta" attribute="1" defaultMemberUniqueName="[Tabla1].[Mes Envío Propuesta].[All]" allUniqueName="[Tabla1].[Mes Envío Propuesta].[All]" dimensionUniqueName="[Tabla1]" displayFolder="" count="0" memberValueDatatype="130" unbalanced="0"/>
    <cacheHierarchy uniqueName="[Tabla1].[Jefa de Cartera Asignada]" caption="Jefa de Cartera Asignada" attribute="1" defaultMemberUniqueName="[Tabla1].[Jefa de Cartera Asignada].[All]" allUniqueName="[Tabla1].[Jefa de Cartera Asignada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Aporte Ingresado]" caption="Aporte Ingresado" attribute="1" defaultMemberUniqueName="[Tabla1].[Aporte Ingresado].[All]" allUniqueName="[Tabla1].[Aporte Ingresado].[All]" dimensionUniqueName="[Tabla1]" displayFolder="" count="0" memberValueDatatype="20" unbalanced="0"/>
    <cacheHierarchy uniqueName="[Tabla1].[Diferencia]" caption="Diferencia" attribute="1" defaultMemberUniqueName="[Tabla1].[Diferencia].[All]" allUniqueName="[Tabla1].[Diferencia].[All]" dimensionUniqueName="[Tabla1]" displayFolder="" count="0" memberValueDatatype="20" unbalanced="0"/>
    <cacheHierarchy uniqueName="[Tabla1].[Fecha Autoriza Propuesta]" caption="Fecha Autoriza Propuesta" attribute="1" defaultMemberUniqueName="[Tabla1].[Fecha Autoriza Propuesta].[All]" allUniqueName="[Tabla1].[Fecha Autoriza Propuesta].[All]" dimensionUniqueName="[Tabla1]" displayFolder="" count="0" memberValueDatatype="130" unbalanced="0"/>
    <cacheHierarchy uniqueName="[Tabla1].[Contacto]" caption="Contacto" attribute="1" defaultMemberUniqueName="[Tabla1].[Contacto].[All]" allUniqueName="[Tabla1].[Contacto].[All]" dimensionUniqueName="[Tabla1]" displayFolder="" count="0" memberValueDatatype="130" unbalanced="0"/>
    <cacheHierarchy uniqueName="[Tabla1].[Contacto 2]" caption="Contacto 2" attribute="1" defaultMemberUniqueName="[Tabla1].[Contacto 2].[All]" allUniqueName="[Tabla1].[Contacto 2].[All]" dimensionUniqueName="[Tabla1]" displayFolder="" count="0" memberValueDatatype="130" unbalanced="0"/>
    <cacheHierarchy uniqueName="[Tabla1].[Correo]" caption="Correo" attribute="1" defaultMemberUniqueName="[Tabla1].[Correo].[All]" allUniqueName="[Tabla1].[Correo].[All]" dimensionUniqueName="[Tabla1]" displayFolder="" count="0" memberValueDatatype="130" unbalanced="0"/>
    <cacheHierarchy uniqueName="[Tabla1].[Cargo]" caption="Cargo" attribute="1" defaultMemberUniqueName="[Tabla1].[Cargo].[All]" allUniqueName="[Tabla1].[Cargo].[All]" dimensionUniqueName="[Tabla1]" displayFolder="" count="0" memberValueDatatype="130" unbalanced="0"/>
    <cacheHierarchy uniqueName="[Tabla1].[Comentarios (Acciones / Reuniones)]" caption="Comentarios (Acciones / Reuniones)" attribute="1" defaultMemberUniqueName="[Tabla1].[Comentarios (Acciones / Reuniones)].[All]" allUniqueName="[Tabla1].[Comentarios (Acciones / Reuniones)].[All]" dimensionUniqueName="[Tabla1]" displayFolder="" count="0" memberValueDatatype="130" unbalanced="0"/>
    <cacheHierarchy uniqueName="[Tabla1].[Fecha Reunión]" caption="Fecha Reunión" attribute="1" defaultMemberUniqueName="[Tabla1].[Fecha Reunión].[All]" allUniqueName="[Tabla1].[Fecha Reunión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HOLDING]" caption="Recuento de HOLDING" measure="1" displayFolder="" measureGroup="Tab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HOLDING]" caption="Recuento distinto de HOLDING" measure="1" displayFolder="" measureGroup="Tab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Monto 1% u Aporte]" caption="Suma de Monto 1% u Aporte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Aporte Ingresado]" caption="Suma de Aporte Ingresado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RUT]" caption="Recuento de RUT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RUT]" caption="Recuento distinto de RUT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ina Maldonado Suazo" refreshedDate="46195.347040740744" backgroundQuery="1" createdVersion="8" refreshedVersion="8" minRefreshableVersion="3" recordCount="0" supportSubquery="1" supportAdvancedDrill="1" xr:uid="{0A17D1BC-83A9-48D8-A323-6D073818283B}">
  <cacheSource type="external" connectionId="1"/>
  <cacheFields count="2">
    <cacheField name="[Measures].[Recuento distinto de HOLDING]" caption="Recuento distinto de HOLDING" numFmtId="0" hierarchy="28" level="32767"/>
    <cacheField name="[Tabla1].[Estado].[Estado]" caption="Estado" numFmtId="0" hierarchy="15" level="1">
      <sharedItems count="6">
        <s v="Adherida al OTIC"/>
        <s v="Contacto Inicial - Sin Propuesta"/>
        <s v="Proceso de afiliación"/>
        <s v="Propuesta Enviada"/>
        <s v="Prospecto"/>
        <s v="Rechaza propuesta"/>
      </sharedItems>
    </cacheField>
  </cacheFields>
  <cacheHierarchies count="33">
    <cacheHierarchy uniqueName="[Tabla1].[N°]" caption="N°" attribute="1" defaultMemberUniqueName="[Tabla1].[N°].[All]" allUniqueName="[Tabla1].[N°].[All]" dimensionUniqueName="[Tabla1]" displayFolder="" count="0" memberValueDatatype="20" unbalanced="0"/>
    <cacheHierarchy uniqueName="[Tabla1].[HOLDING]" caption="HOLDING" attribute="1" defaultMemberUniqueName="[Tabla1].[HOLDING].[All]" allUniqueName="[Tabla1].[HOLDING].[All]" dimensionUniqueName="[Tabla1]" displayFolder="" count="0" memberValueDatatype="130" unbalanced="0"/>
    <cacheHierarchy uniqueName="[Tabla1].[Estado Contacto]" caption="Estado Contacto" attribute="1" defaultMemberUniqueName="[Tabla1].[Estado Contacto].[All]" allUniqueName="[Tabla1].[Estado Contacto].[All]" dimensionUniqueName="[Tabla1]" displayFolder="" count="0" memberValueDatatype="130" unbalanced="0"/>
    <cacheHierarchy uniqueName="[Tabla1].[RUT]" caption="RUT" attribute="1" defaultMemberUniqueName="[Tabla1].[RUT].[All]" allUniqueName="[Tabla1].[RUT].[All]" dimensionUniqueName="[Tabla1]" displayFolder="" count="0" memberValueDatatype="130" unbalanced="0"/>
    <cacheHierarchy uniqueName="[Tabla1].[Razón Social]" caption="Razón Social" attribute="1" defaultMemberUniqueName="[Tabla1].[Razón Social].[All]" allUniqueName="[Tabla1].[Razón Social].[All]" dimensionUniqueName="[Tabla1]" displayFolder="" count="0" memberValueDatatype="130" unbalanced="0"/>
    <cacheHierarchy uniqueName="[Tabla1].[EVENTO]" caption="EVENTO" attribute="1" defaultMemberUniqueName="[Tabla1].[EVENTO].[All]" allUniqueName="[Tabla1].[EVENTO].[All]" dimensionUniqueName="[Tabla1]" displayFolder="" count="0" memberValueDatatype="130" unbalanced="0"/>
    <cacheHierarchy uniqueName="[Tabla1].[Indicador]" caption="Indicador" attribute="1" defaultMemberUniqueName="[Tabla1].[Indicador].[All]" allUniqueName="[Tabla1].[Indicador].[All]" dimensionUniqueName="[Tabla1]" displayFolder="" count="0" memberValueDatatype="130" unbalanced="0"/>
    <cacheHierarchy uniqueName="[Tabla1].[Evento2]" caption="Evento2" attribute="1" defaultMemberUniqueName="[Tabla1].[Evento2].[All]" allUniqueName="[Tabla1].[Evento2].[All]" dimensionUniqueName="[Tabla1]" displayFolder="" count="0" memberValueDatatype="130" unbalanced="0"/>
    <cacheHierarchy uniqueName="[Tabla1].[Zona]" caption="Zona" attribute="1" defaultMemberUniqueName="[Tabla1].[Zona].[All]" allUniqueName="[Tabla1].[Zona].[All]" dimensionUniqueName="[Tabla1]" displayFolder="" count="0" memberValueDatatype="130" unbalanced="0"/>
    <cacheHierarchy uniqueName="[Tabla1].[Monto 1% u Aporte]" caption="Monto 1% u Aporte" attribute="1" defaultMemberUniqueName="[Tabla1].[Monto 1% u Aporte].[All]" allUniqueName="[Tabla1].[Monto 1% u Aporte].[All]" dimensionUniqueName="[Tabla1]" displayFolder="" count="0" memberValueDatatype="20" unbalanced="0"/>
    <cacheHierarchy uniqueName="[Tabla1].[Tasa Propuesta Administración OTIC]" caption="Tasa Propuesta Administración OTIC" attribute="1" defaultMemberUniqueName="[Tabla1].[Tasa Propuesta Administración OTIC].[All]" allUniqueName="[Tabla1].[Tasa Propuesta Administración OTIC].[All]" dimensionUniqueName="[Tabla1]" displayFolder="" count="0" memberValueDatatype="5" unbalanced="0"/>
    <cacheHierarchy uniqueName="[Tabla1].[Monto Admisnistración]" caption="Monto Admisnistración" attribute="1" defaultMemberUniqueName="[Tabla1].[Monto Admisnistración].[All]" allUniqueName="[Tabla1].[Monto Admisnistración].[All]" dimensionUniqueName="[Tabla1]" displayFolder="" count="0" memberValueDatatype="5" unbalanced="0"/>
    <cacheHierarchy uniqueName="[Tabla1].[OTIC Actual]" caption="OTIC Actual" attribute="1" defaultMemberUniqueName="[Tabla1].[OTIC Actual].[All]" allUniqueName="[Tabla1].[OTIC Actual].[All]" dimensionUniqueName="[Tabla1]" displayFolder="" count="0" memberValueDatatype="130" unbalanced="0"/>
    <cacheHierarchy uniqueName="[Tabla1].[Mes Envío Propuesta]" caption="Mes Envío Propuesta" attribute="1" defaultMemberUniqueName="[Tabla1].[Mes Envío Propuesta].[All]" allUniqueName="[Tabla1].[Mes Envío Propuesta].[All]" dimensionUniqueName="[Tabla1]" displayFolder="" count="0" memberValueDatatype="130" unbalanced="0"/>
    <cacheHierarchy uniqueName="[Tabla1].[Jefa de Cartera Asignada]" caption="Jefa de Cartera Asignada" attribute="1" defaultMemberUniqueName="[Tabla1].[Jefa de Cartera Asignada].[All]" allUniqueName="[Tabla1].[Jefa de Cartera Asignada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Aporte Ingresado]" caption="Aporte Ingresado" attribute="1" defaultMemberUniqueName="[Tabla1].[Aporte Ingresado].[All]" allUniqueName="[Tabla1].[Aporte Ingresado].[All]" dimensionUniqueName="[Tabla1]" displayFolder="" count="0" memberValueDatatype="20" unbalanced="0"/>
    <cacheHierarchy uniqueName="[Tabla1].[Diferencia]" caption="Diferencia" attribute="1" defaultMemberUniqueName="[Tabla1].[Diferencia].[All]" allUniqueName="[Tabla1].[Diferencia].[All]" dimensionUniqueName="[Tabla1]" displayFolder="" count="0" memberValueDatatype="20" unbalanced="0"/>
    <cacheHierarchy uniqueName="[Tabla1].[Fecha Autoriza Propuesta]" caption="Fecha Autoriza Propuesta" attribute="1" defaultMemberUniqueName="[Tabla1].[Fecha Autoriza Propuesta].[All]" allUniqueName="[Tabla1].[Fecha Autoriza Propuesta].[All]" dimensionUniqueName="[Tabla1]" displayFolder="" count="0" memberValueDatatype="130" unbalanced="0"/>
    <cacheHierarchy uniqueName="[Tabla1].[Contacto]" caption="Contacto" attribute="1" defaultMemberUniqueName="[Tabla1].[Contacto].[All]" allUniqueName="[Tabla1].[Contacto].[All]" dimensionUniqueName="[Tabla1]" displayFolder="" count="0" memberValueDatatype="130" unbalanced="0"/>
    <cacheHierarchy uniqueName="[Tabla1].[Contacto 2]" caption="Contacto 2" attribute="1" defaultMemberUniqueName="[Tabla1].[Contacto 2].[All]" allUniqueName="[Tabla1].[Contacto 2].[All]" dimensionUniqueName="[Tabla1]" displayFolder="" count="0" memberValueDatatype="130" unbalanced="0"/>
    <cacheHierarchy uniqueName="[Tabla1].[Correo]" caption="Correo" attribute="1" defaultMemberUniqueName="[Tabla1].[Correo].[All]" allUniqueName="[Tabla1].[Correo].[All]" dimensionUniqueName="[Tabla1]" displayFolder="" count="0" memberValueDatatype="130" unbalanced="0"/>
    <cacheHierarchy uniqueName="[Tabla1].[Cargo]" caption="Cargo" attribute="1" defaultMemberUniqueName="[Tabla1].[Cargo].[All]" allUniqueName="[Tabla1].[Cargo].[All]" dimensionUniqueName="[Tabla1]" displayFolder="" count="0" memberValueDatatype="130" unbalanced="0"/>
    <cacheHierarchy uniqueName="[Tabla1].[Comentarios (Acciones / Reuniones)]" caption="Comentarios (Acciones / Reuniones)" attribute="1" defaultMemberUniqueName="[Tabla1].[Comentarios (Acciones / Reuniones)].[All]" allUniqueName="[Tabla1].[Comentarios (Acciones / Reuniones)].[All]" dimensionUniqueName="[Tabla1]" displayFolder="" count="0" memberValueDatatype="130" unbalanced="0"/>
    <cacheHierarchy uniqueName="[Tabla1].[Fecha Reunión]" caption="Fecha Reunión" attribute="1" defaultMemberUniqueName="[Tabla1].[Fecha Reunión].[All]" allUniqueName="[Tabla1].[Fecha Reunión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HOLDING]" caption="Recuento de HOLDING" measure="1" displayFolder="" measureGroup="Tab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HOLDING]" caption="Recuento distinto de HOLDING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Monto 1% u Aporte]" caption="Suma de Monto 1% u Aporte" measure="1" displayFolder="" measureGroup="Tab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Aporte Ingresado]" caption="Suma de Aporte Ingresado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RUT]" caption="Recuento de RUT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RUT]" caption="Recuento distinto de RUT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ina Maldonado Suazo" refreshedDate="46195.347042013891" backgroundQuery="1" createdVersion="8" refreshedVersion="8" minRefreshableVersion="3" recordCount="0" supportSubquery="1" supportAdvancedDrill="1" xr:uid="{7CCFD616-1985-49B8-81CC-F779EF7507D4}">
  <cacheSource type="external" connectionId="1"/>
  <cacheFields count="5">
    <cacheField name="[Measures].[Recuento distinto de HOLDING]" caption="Recuento distinto de HOLDING" numFmtId="0" hierarchy="28" level="32767"/>
    <cacheField name="[Tabla1].[Estado].[Estado]" caption="Estado" numFmtId="0" hierarchy="15" level="1">
      <sharedItems count="6">
        <s v="Adherida al OTIC"/>
        <s v="Contacto Inicial - Sin Propuesta"/>
        <s v="Proceso de afiliación"/>
        <s v="Propuesta Enviada"/>
        <s v="Prospecto"/>
        <s v="Rechaza propuesta"/>
      </sharedItems>
    </cacheField>
    <cacheField name="[Measures].[Suma de Monto 1% u Aporte]" caption="Suma de Monto 1% u Aporte" numFmtId="0" hierarchy="29" level="32767"/>
    <cacheField name="[Measures].[Suma de Aporte Ingresado]" caption="Suma de Aporte Ingresado" numFmtId="0" hierarchy="30" level="32767"/>
    <cacheField name="Unsupported0" numFmtId="0" hierarchy="3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4">
    <cacheHierarchy uniqueName="[Tabla1].[N°]" caption="N°" attribute="1" defaultMemberUniqueName="[Tabla1].[N°].[All]" allUniqueName="[Tabla1].[N°].[All]" dimensionUniqueName="[Tabla1]" displayFolder="" count="0" memberValueDatatype="20" unbalanced="0"/>
    <cacheHierarchy uniqueName="[Tabla1].[HOLDING]" caption="HOLDING" attribute="1" defaultMemberUniqueName="[Tabla1].[HOLDING].[All]" allUniqueName="[Tabla1].[HOLDING].[All]" dimensionUniqueName="[Tabla1]" displayFolder="" count="0" memberValueDatatype="130" unbalanced="0"/>
    <cacheHierarchy uniqueName="[Tabla1].[Estado Contacto]" caption="Estado Contacto" attribute="1" defaultMemberUniqueName="[Tabla1].[Estado Contacto].[All]" allUniqueName="[Tabla1].[Estado Contacto].[All]" dimensionUniqueName="[Tabla1]" displayFolder="" count="0" memberValueDatatype="130" unbalanced="0"/>
    <cacheHierarchy uniqueName="[Tabla1].[RUT]" caption="RUT" attribute="1" defaultMemberUniqueName="[Tabla1].[RUT].[All]" allUniqueName="[Tabla1].[RUT].[All]" dimensionUniqueName="[Tabla1]" displayFolder="" count="0" memberValueDatatype="130" unbalanced="0"/>
    <cacheHierarchy uniqueName="[Tabla1].[Razón Social]" caption="Razón Social" attribute="1" defaultMemberUniqueName="[Tabla1].[Razón Social].[All]" allUniqueName="[Tabla1].[Razón Social].[All]" dimensionUniqueName="[Tabla1]" displayFolder="" count="0" memberValueDatatype="130" unbalanced="0"/>
    <cacheHierarchy uniqueName="[Tabla1].[EVENTO]" caption="EVENTO" attribute="1" defaultMemberUniqueName="[Tabla1].[EVENTO].[All]" allUniqueName="[Tabla1].[EVENTO].[All]" dimensionUniqueName="[Tabla1]" displayFolder="" count="0" memberValueDatatype="130" unbalanced="0"/>
    <cacheHierarchy uniqueName="[Tabla1].[Indicador]" caption="Indicador" attribute="1" defaultMemberUniqueName="[Tabla1].[Indicador].[All]" allUniqueName="[Tabla1].[Indicador].[All]" dimensionUniqueName="[Tabla1]" displayFolder="" count="0" memberValueDatatype="130" unbalanced="0"/>
    <cacheHierarchy uniqueName="[Tabla1].[Evento2]" caption="Evento2" attribute="1" defaultMemberUniqueName="[Tabla1].[Evento2].[All]" allUniqueName="[Tabla1].[Evento2].[All]" dimensionUniqueName="[Tabla1]" displayFolder="" count="0" memberValueDatatype="130" unbalanced="0"/>
    <cacheHierarchy uniqueName="[Tabla1].[Zona]" caption="Zona" attribute="1" defaultMemberUniqueName="[Tabla1].[Zona].[All]" allUniqueName="[Tabla1].[Zona].[All]" dimensionUniqueName="[Tabla1]" displayFolder="" count="0" memberValueDatatype="130" unbalanced="0"/>
    <cacheHierarchy uniqueName="[Tabla1].[Monto 1% u Aporte]" caption="Monto 1% u Aporte" attribute="1" defaultMemberUniqueName="[Tabla1].[Monto 1% u Aporte].[All]" allUniqueName="[Tabla1].[Monto 1% u Aporte].[All]" dimensionUniqueName="[Tabla1]" displayFolder="" count="0" memberValueDatatype="20" unbalanced="0"/>
    <cacheHierarchy uniqueName="[Tabla1].[Tasa Propuesta Administración OTIC]" caption="Tasa Propuesta Administración OTIC" attribute="1" defaultMemberUniqueName="[Tabla1].[Tasa Propuesta Administración OTIC].[All]" allUniqueName="[Tabla1].[Tasa Propuesta Administración OTIC].[All]" dimensionUniqueName="[Tabla1]" displayFolder="" count="0" memberValueDatatype="5" unbalanced="0"/>
    <cacheHierarchy uniqueName="[Tabla1].[Monto Admisnistración]" caption="Monto Admisnistración" attribute="1" defaultMemberUniqueName="[Tabla1].[Monto Admisnistración].[All]" allUniqueName="[Tabla1].[Monto Admisnistración].[All]" dimensionUniqueName="[Tabla1]" displayFolder="" count="0" memberValueDatatype="5" unbalanced="0"/>
    <cacheHierarchy uniqueName="[Tabla1].[OTIC Actual]" caption="OTIC Actual" attribute="1" defaultMemberUniqueName="[Tabla1].[OTIC Actual].[All]" allUniqueName="[Tabla1].[OTIC Actual].[All]" dimensionUniqueName="[Tabla1]" displayFolder="" count="0" memberValueDatatype="130" unbalanced="0"/>
    <cacheHierarchy uniqueName="[Tabla1].[Mes Envío Propuesta]" caption="Mes Envío Propuesta" attribute="1" defaultMemberUniqueName="[Tabla1].[Mes Envío Propuesta].[All]" allUniqueName="[Tabla1].[Mes Envío Propuesta].[All]" dimensionUniqueName="[Tabla1]" displayFolder="" count="0" memberValueDatatype="130" unbalanced="0"/>
    <cacheHierarchy uniqueName="[Tabla1].[Jefa de Cartera Asignada]" caption="Jefa de Cartera Asignada" attribute="1" defaultMemberUniqueName="[Tabla1].[Jefa de Cartera Asignada].[All]" allUniqueName="[Tabla1].[Jefa de Cartera Asignada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Aporte Ingresado]" caption="Aporte Ingresado" attribute="1" defaultMemberUniqueName="[Tabla1].[Aporte Ingresado].[All]" allUniqueName="[Tabla1].[Aporte Ingresado].[All]" dimensionUniqueName="[Tabla1]" displayFolder="" count="0" memberValueDatatype="20" unbalanced="0"/>
    <cacheHierarchy uniqueName="[Tabla1].[Diferencia]" caption="Diferencia" attribute="1" defaultMemberUniqueName="[Tabla1].[Diferencia].[All]" allUniqueName="[Tabla1].[Diferencia].[All]" dimensionUniqueName="[Tabla1]" displayFolder="" count="0" memberValueDatatype="20" unbalanced="0"/>
    <cacheHierarchy uniqueName="[Tabla1].[Fecha Autoriza Propuesta]" caption="Fecha Autoriza Propuesta" attribute="1" defaultMemberUniqueName="[Tabla1].[Fecha Autoriza Propuesta].[All]" allUniqueName="[Tabla1].[Fecha Autoriza Propuesta].[All]" dimensionUniqueName="[Tabla1]" displayFolder="" count="0" memberValueDatatype="130" unbalanced="0"/>
    <cacheHierarchy uniqueName="[Tabla1].[Contacto]" caption="Contacto" attribute="1" defaultMemberUniqueName="[Tabla1].[Contacto].[All]" allUniqueName="[Tabla1].[Contacto].[All]" dimensionUniqueName="[Tabla1]" displayFolder="" count="0" memberValueDatatype="130" unbalanced="0"/>
    <cacheHierarchy uniqueName="[Tabla1].[Contacto 2]" caption="Contacto 2" attribute="1" defaultMemberUniqueName="[Tabla1].[Contacto 2].[All]" allUniqueName="[Tabla1].[Contacto 2].[All]" dimensionUniqueName="[Tabla1]" displayFolder="" count="0" memberValueDatatype="130" unbalanced="0"/>
    <cacheHierarchy uniqueName="[Tabla1].[Correo]" caption="Correo" attribute="1" defaultMemberUniqueName="[Tabla1].[Correo].[All]" allUniqueName="[Tabla1].[Correo].[All]" dimensionUniqueName="[Tabla1]" displayFolder="" count="0" memberValueDatatype="130" unbalanced="0"/>
    <cacheHierarchy uniqueName="[Tabla1].[Cargo]" caption="Cargo" attribute="1" defaultMemberUniqueName="[Tabla1].[Cargo].[All]" allUniqueName="[Tabla1].[Cargo].[All]" dimensionUniqueName="[Tabla1]" displayFolder="" count="0" memberValueDatatype="130" unbalanced="0"/>
    <cacheHierarchy uniqueName="[Tabla1].[Comentarios (Acciones / Reuniones)]" caption="Comentarios (Acciones / Reuniones)" attribute="1" defaultMemberUniqueName="[Tabla1].[Comentarios (Acciones / Reuniones)].[All]" allUniqueName="[Tabla1].[Comentarios (Acciones / Reuniones)].[All]" dimensionUniqueName="[Tabla1]" displayFolder="" count="0" memberValueDatatype="130" unbalanced="0"/>
    <cacheHierarchy uniqueName="[Tabla1].[Fecha Reunión]" caption="Fecha Reunión" attribute="1" defaultMemberUniqueName="[Tabla1].[Fecha Reunión].[All]" allUniqueName="[Tabla1].[Fecha Reunión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HOLDING]" caption="Recuento de HOLDING" measure="1" displayFolder="" measureGroup="Tab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HOLDING]" caption="Recuento distinto de HOLDING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Monto 1% u Aporte]" caption="Suma de Monto 1% u Aporte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Aporte Ingresado]" caption="Suma de Aporte Ingresado" measure="1" displayFolder="" measureGroup="Tabla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RUT]" caption="Recuento de RUT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RUT]" caption="Recuento distinto de RUT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Unsupported0" caption="N°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ina Maldonado Suazo" refreshedDate="46195.352735300927" backgroundQuery="1" createdVersion="8" refreshedVersion="8" minRefreshableVersion="3" recordCount="0" supportSubquery="1" supportAdvancedDrill="1" xr:uid="{F5E907A4-3C25-4351-99E8-0E9E1D2343A6}">
  <cacheSource type="external" connectionId="1"/>
  <cacheFields count="4">
    <cacheField name="[Measures].[Suma de Monto 1% u Aporte]" caption="Suma de Monto 1% u Aporte" numFmtId="0" hierarchy="29" level="32767"/>
    <cacheField name="[Measures].[Suma de Aporte Ingresado]" caption="Suma de Aporte Ingresado" numFmtId="0" hierarchy="30" level="32767"/>
    <cacheField name="[Tabla1].[Estado Contacto].[Estado Contacto]" caption="Estado Contacto" numFmtId="0" hierarchy="2" level="1">
      <sharedItems count="3">
        <s v="AFILIADA"/>
        <s v="EN GESTIÓN"/>
        <s v="PROSPECTO"/>
      </sharedItems>
    </cacheField>
    <cacheField name="[Tabla1].[HOLDING].[HOLDING]" caption="HOLDING" numFmtId="0" hierarchy="1" level="1">
      <sharedItems count="19">
        <s v="AFP CAPITAL"/>
        <s v="APSORAD"/>
        <s v="AUDIGESTION"/>
        <s v="BREDENMASTER"/>
        <s v="CASA ROYAL"/>
        <s v="CORP LAS CONDES"/>
        <s v="DVP"/>
        <s v="ECOPALLET"/>
        <s v="Electrica Nueva Energía"/>
        <s v="FOURPOINTS"/>
        <s v="FR Group "/>
        <s v="GEOTEC"/>
        <s v="KEYPRO"/>
        <s v="NUEVO PUDAHUEL"/>
        <s v="REMORAS"/>
        <s v="SKECHERS"/>
        <s v="TREK RENTAL"/>
        <s v="UNIVERSIDAD TALCA"/>
        <s v="YOUTOPIA CLUB"/>
      </sharedItems>
    </cacheField>
  </cacheFields>
  <cacheHierarchies count="33">
    <cacheHierarchy uniqueName="[Tabla1].[N°]" caption="N°" attribute="1" defaultMemberUniqueName="[Tabla1].[N°].[All]" allUniqueName="[Tabla1].[N°].[All]" dimensionUniqueName="[Tabla1]" displayFolder="" count="0" memberValueDatatype="20" unbalanced="0"/>
    <cacheHierarchy uniqueName="[Tabla1].[HOLDING]" caption="HOLDING" attribute="1" defaultMemberUniqueName="[Tabla1].[HOLDING].[All]" allUniqueName="[Tabla1].[HOLDING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Estado Contacto]" caption="Estado Contacto" attribute="1" defaultMemberUniqueName="[Tabla1].[Estado Contacto].[All]" allUniqueName="[Tabla1].[Estado Contacto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RUT]" caption="RUT" attribute="1" defaultMemberUniqueName="[Tabla1].[RUT].[All]" allUniqueName="[Tabla1].[RUT].[All]" dimensionUniqueName="[Tabla1]" displayFolder="" count="0" memberValueDatatype="130" unbalanced="0"/>
    <cacheHierarchy uniqueName="[Tabla1].[Razón Social]" caption="Razón Social" attribute="1" defaultMemberUniqueName="[Tabla1].[Razón Social].[All]" allUniqueName="[Tabla1].[Razón Social].[All]" dimensionUniqueName="[Tabla1]" displayFolder="" count="0" memberValueDatatype="130" unbalanced="0"/>
    <cacheHierarchy uniqueName="[Tabla1].[EVENTO]" caption="EVENTO" attribute="1" defaultMemberUniqueName="[Tabla1].[EVENTO].[All]" allUniqueName="[Tabla1].[EVENTO].[All]" dimensionUniqueName="[Tabla1]" displayFolder="" count="0" memberValueDatatype="130" unbalanced="0"/>
    <cacheHierarchy uniqueName="[Tabla1].[Indicador]" caption="Indicador" attribute="1" defaultMemberUniqueName="[Tabla1].[Indicador].[All]" allUniqueName="[Tabla1].[Indicador].[All]" dimensionUniqueName="[Tabla1]" displayFolder="" count="0" memberValueDatatype="130" unbalanced="0"/>
    <cacheHierarchy uniqueName="[Tabla1].[Evento2]" caption="Evento2" attribute="1" defaultMemberUniqueName="[Tabla1].[Evento2].[All]" allUniqueName="[Tabla1].[Evento2].[All]" dimensionUniqueName="[Tabla1]" displayFolder="" count="0" memberValueDatatype="130" unbalanced="0"/>
    <cacheHierarchy uniqueName="[Tabla1].[Zona]" caption="Zona" attribute="1" defaultMemberUniqueName="[Tabla1].[Zona].[All]" allUniqueName="[Tabla1].[Zona].[All]" dimensionUniqueName="[Tabla1]" displayFolder="" count="0" memberValueDatatype="130" unbalanced="0"/>
    <cacheHierarchy uniqueName="[Tabla1].[Monto 1% u Aporte]" caption="Monto 1% u Aporte" attribute="1" defaultMemberUniqueName="[Tabla1].[Monto 1% u Aporte].[All]" allUniqueName="[Tabla1].[Monto 1% u Aporte].[All]" dimensionUniqueName="[Tabla1]" displayFolder="" count="0" memberValueDatatype="20" unbalanced="0"/>
    <cacheHierarchy uniqueName="[Tabla1].[Tasa Propuesta Administración OTIC]" caption="Tasa Propuesta Administración OTIC" attribute="1" defaultMemberUniqueName="[Tabla1].[Tasa Propuesta Administración OTIC].[All]" allUniqueName="[Tabla1].[Tasa Propuesta Administración OTIC].[All]" dimensionUniqueName="[Tabla1]" displayFolder="" count="0" memberValueDatatype="5" unbalanced="0"/>
    <cacheHierarchy uniqueName="[Tabla1].[Monto Admisnistración]" caption="Monto Admisnistración" attribute="1" defaultMemberUniqueName="[Tabla1].[Monto Admisnistración].[All]" allUniqueName="[Tabla1].[Monto Admisnistración].[All]" dimensionUniqueName="[Tabla1]" displayFolder="" count="0" memberValueDatatype="5" unbalanced="0"/>
    <cacheHierarchy uniqueName="[Tabla1].[OTIC Actual]" caption="OTIC Actual" attribute="1" defaultMemberUniqueName="[Tabla1].[OTIC Actual].[All]" allUniqueName="[Tabla1].[OTIC Actual].[All]" dimensionUniqueName="[Tabla1]" displayFolder="" count="0" memberValueDatatype="130" unbalanced="0"/>
    <cacheHierarchy uniqueName="[Tabla1].[Mes Envío Propuesta]" caption="Mes Envío Propuesta" attribute="1" defaultMemberUniqueName="[Tabla1].[Mes Envío Propuesta].[All]" allUniqueName="[Tabla1].[Mes Envío Propuesta].[All]" dimensionUniqueName="[Tabla1]" displayFolder="" count="0" memberValueDatatype="130" unbalanced="0"/>
    <cacheHierarchy uniqueName="[Tabla1].[Jefa de Cartera Asignada]" caption="Jefa de Cartera Asignada" attribute="1" defaultMemberUniqueName="[Tabla1].[Jefa de Cartera Asignada].[All]" allUniqueName="[Tabla1].[Jefa de Cartera Asignada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Aporte Ingresado]" caption="Aporte Ingresado" attribute="1" defaultMemberUniqueName="[Tabla1].[Aporte Ingresado].[All]" allUniqueName="[Tabla1].[Aporte Ingresado].[All]" dimensionUniqueName="[Tabla1]" displayFolder="" count="0" memberValueDatatype="20" unbalanced="0"/>
    <cacheHierarchy uniqueName="[Tabla1].[Diferencia]" caption="Diferencia" attribute="1" defaultMemberUniqueName="[Tabla1].[Diferencia].[All]" allUniqueName="[Tabla1].[Diferencia].[All]" dimensionUniqueName="[Tabla1]" displayFolder="" count="0" memberValueDatatype="20" unbalanced="0"/>
    <cacheHierarchy uniqueName="[Tabla1].[Fecha Autoriza Propuesta]" caption="Fecha Autoriza Propuesta" attribute="1" defaultMemberUniqueName="[Tabla1].[Fecha Autoriza Propuesta].[All]" allUniqueName="[Tabla1].[Fecha Autoriza Propuesta].[All]" dimensionUniqueName="[Tabla1]" displayFolder="" count="0" memberValueDatatype="130" unbalanced="0"/>
    <cacheHierarchy uniqueName="[Tabla1].[Contacto]" caption="Contacto" attribute="1" defaultMemberUniqueName="[Tabla1].[Contacto].[All]" allUniqueName="[Tabla1].[Contacto].[All]" dimensionUniqueName="[Tabla1]" displayFolder="" count="0" memberValueDatatype="130" unbalanced="0"/>
    <cacheHierarchy uniqueName="[Tabla1].[Contacto 2]" caption="Contacto 2" attribute="1" defaultMemberUniqueName="[Tabla1].[Contacto 2].[All]" allUniqueName="[Tabla1].[Contacto 2].[All]" dimensionUniqueName="[Tabla1]" displayFolder="" count="0" memberValueDatatype="130" unbalanced="0"/>
    <cacheHierarchy uniqueName="[Tabla1].[Correo]" caption="Correo" attribute="1" defaultMemberUniqueName="[Tabla1].[Correo].[All]" allUniqueName="[Tabla1].[Correo].[All]" dimensionUniqueName="[Tabla1]" displayFolder="" count="0" memberValueDatatype="130" unbalanced="0"/>
    <cacheHierarchy uniqueName="[Tabla1].[Cargo]" caption="Cargo" attribute="1" defaultMemberUniqueName="[Tabla1].[Cargo].[All]" allUniqueName="[Tabla1].[Cargo].[All]" dimensionUniqueName="[Tabla1]" displayFolder="" count="0" memberValueDatatype="130" unbalanced="0"/>
    <cacheHierarchy uniqueName="[Tabla1].[Comentarios (Acciones / Reuniones)]" caption="Comentarios (Acciones / Reuniones)" attribute="1" defaultMemberUniqueName="[Tabla1].[Comentarios (Acciones / Reuniones)].[All]" allUniqueName="[Tabla1].[Comentarios (Acciones / Reuniones)].[All]" dimensionUniqueName="[Tabla1]" displayFolder="" count="0" memberValueDatatype="130" unbalanced="0"/>
    <cacheHierarchy uniqueName="[Tabla1].[Fecha Reunión]" caption="Fecha Reunión" attribute="1" defaultMemberUniqueName="[Tabla1].[Fecha Reunión].[All]" allUniqueName="[Tabla1].[Fecha Reunión].[All]" dimensionUniqueName="[Tabla1]" displayFolder="" count="0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HOLDING]" caption="Recuento de HOLDING" measure="1" displayFolder="" measureGroup="Tab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Recuento distinto de HOLDING]" caption="Recuento distinto de HOLDING" measure="1" displayFolder="" measureGroup="Tabla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Monto 1% u Aporte]" caption="Suma de Monto 1% u Aporte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Aporte Ingresado]" caption="Suma de Aporte Ingresado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RUT]" caption="Recuento de RUT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istinto de RUT]" caption="Recuento distinto de RUT" measure="1" displayFolder="" measureGroup="Tabla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"/>
    <n v="64667"/>
    <n v="0"/>
    <n v="0"/>
    <s v="71.015.300-0"/>
    <s v="Corporacion De Desarrollo De La Comuna De San Vicente De Tagua Tagua"/>
    <n v="1"/>
    <n v="30787776"/>
    <d v="2025-04-28T00:00:00"/>
    <x v="0"/>
    <x v="0"/>
    <d v="2025-04-28T00:00:00"/>
    <n v="7"/>
    <s v="Ap Cap"/>
    <s v="Maule"/>
    <s v="Directo"/>
    <s v="Pmunoz"/>
    <s v="Aporte Período 2025"/>
    <n v="7"/>
    <n v="0"/>
    <n v="0"/>
    <m/>
    <n v="2155144"/>
    <n v="2155144"/>
    <n v="0"/>
    <n v="0"/>
    <s v="Socio Nuevo 2025"/>
  </r>
  <r>
    <n v="2"/>
    <n v="64628"/>
    <n v="0"/>
    <n v="0"/>
    <s v="78.924.030-2"/>
    <s v="Implementos S.a"/>
    <n v="1"/>
    <n v="30000000"/>
    <d v="2025-04-25T00:00:00"/>
    <x v="0"/>
    <x v="0"/>
    <d v="2025-04-25T00:00:00"/>
    <n v="15"/>
    <s v="Ap Cap"/>
    <s v="Santiago"/>
    <s v="Directo"/>
    <s v="Cosorio"/>
    <s v="Aporte Período 2025"/>
    <n v="4"/>
    <n v="11"/>
    <n v="0"/>
    <m/>
    <n v="4500000"/>
    <n v="1200000"/>
    <n v="3300000"/>
    <n v="0"/>
    <s v="Socio Nuevo 2025"/>
  </r>
  <r>
    <n v="3"/>
    <n v="64586"/>
    <n v="0"/>
    <n v="0"/>
    <s v="81.949.100-3"/>
    <s v="Corporación De Beneficencia Osorno"/>
    <n v="1"/>
    <n v="5000000"/>
    <d v="2025-04-22T00:00:00"/>
    <x v="0"/>
    <x v="0"/>
    <d v="2025-04-22T00:00:00"/>
    <n v="10"/>
    <s v="Ap Cap"/>
    <s v="Puerto Montt"/>
    <s v="Directo"/>
    <s v="Cparada"/>
    <s v="Aporte Período 2025"/>
    <n v="10"/>
    <n v="0"/>
    <n v="0"/>
    <m/>
    <n v="500000"/>
    <n v="500000"/>
    <n v="0"/>
    <n v="0"/>
    <s v="Socio Nuevo 2025"/>
  </r>
  <r>
    <n v="4"/>
    <n v="64587"/>
    <n v="0"/>
    <n v="0"/>
    <s v="81.949.100-3"/>
    <s v="Corporación De Beneficencia Osorno"/>
    <n v="1"/>
    <n v="5000000"/>
    <d v="2025-04-22T00:00:00"/>
    <x v="0"/>
    <x v="0"/>
    <d v="2025-04-22T00:00:00"/>
    <n v="10"/>
    <s v="Ap Cap"/>
    <s v="Puerto Montt"/>
    <s v="Directo"/>
    <s v="Cparada"/>
    <s v="Aporte Período 2025"/>
    <n v="10"/>
    <n v="0"/>
    <n v="0"/>
    <m/>
    <n v="500000"/>
    <n v="500000"/>
    <n v="0"/>
    <n v="0"/>
    <s v="Socio Nuevo 2025"/>
  </r>
  <r>
    <n v="5"/>
    <n v="64588"/>
    <n v="0"/>
    <n v="0"/>
    <s v="81.949.100-3"/>
    <s v="Corporación De Beneficencia Osorno"/>
    <n v="1"/>
    <n v="5000000"/>
    <d v="2025-04-22T00:00:00"/>
    <x v="0"/>
    <x v="0"/>
    <d v="2025-04-22T00:00:00"/>
    <n v="10"/>
    <s v="Ap Cap"/>
    <s v="Puerto Montt"/>
    <s v="Directo"/>
    <s v="Cparada"/>
    <s v="Aporte Período 2025"/>
    <n v="10"/>
    <n v="0"/>
    <n v="0"/>
    <m/>
    <n v="500000"/>
    <n v="500000"/>
    <n v="0"/>
    <n v="0"/>
    <s v="Socio Nuevo 2025"/>
  </r>
  <r>
    <n v="6"/>
    <n v="64589"/>
    <n v="0"/>
    <n v="0"/>
    <s v="81.949.100-3"/>
    <s v="Corporación De Beneficencia Osorno"/>
    <n v="1"/>
    <n v="5000000"/>
    <d v="2025-04-22T00:00:00"/>
    <x v="0"/>
    <x v="0"/>
    <d v="2025-04-22T00:00:00"/>
    <n v="10"/>
    <s v="Ap Cap"/>
    <s v="Puerto Montt"/>
    <s v="Directo"/>
    <s v="Cparada"/>
    <s v="Aporte Período 2025"/>
    <n v="10"/>
    <n v="0"/>
    <n v="0"/>
    <m/>
    <n v="500000"/>
    <n v="500000"/>
    <n v="0"/>
    <n v="0"/>
    <s v="Socio Nuevo 2025"/>
  </r>
  <r>
    <n v="7"/>
    <n v="64541"/>
    <n v="0"/>
    <n v="0"/>
    <s v="76.129.862-3"/>
    <s v="Gastronomica Y Spa Turistico Coyhaique S.a"/>
    <n v="1"/>
    <n v="4588"/>
    <d v="2025-04-11T00:00:00"/>
    <x v="0"/>
    <x v="0"/>
    <d v="2025-04-11T00:00:00"/>
    <n v="15"/>
    <s v="Ap Cap"/>
    <s v="Puerto Montt"/>
    <s v="Directo"/>
    <s v="Cparada"/>
    <s v="Aporte Período 2025"/>
    <n v="5"/>
    <n v="10"/>
    <n v="0"/>
    <m/>
    <n v="688"/>
    <n v="229"/>
    <n v="459"/>
    <n v="0"/>
    <s v="Socio Nuevo 2025"/>
  </r>
  <r>
    <n v="8"/>
    <n v="64429"/>
    <n v="0"/>
    <n v="0"/>
    <s v="87.765.000-6"/>
    <s v="Comercial Ruver Ltda "/>
    <n v="1"/>
    <n v="1648787"/>
    <d v="2025-04-08T00:00:00"/>
    <x v="0"/>
    <x v="0"/>
    <d v="2025-04-08T00:00:00"/>
    <n v="7"/>
    <s v="Ap Cap"/>
    <s v="Concepción"/>
    <s v="Directo"/>
    <s v="Pmunoz"/>
    <s v="Aporte Período 2025"/>
    <n v="7"/>
    <n v="0"/>
    <n v="0"/>
    <m/>
    <n v="115415"/>
    <n v="115415"/>
    <n v="0"/>
    <n v="0"/>
    <s v="Socio Nuevo 2025"/>
  </r>
  <r>
    <n v="9"/>
    <n v="64430"/>
    <n v="0"/>
    <n v="0"/>
    <s v="78.129.870-0"/>
    <s v="Comercial Yolanda Ltda"/>
    <n v="1"/>
    <n v="3087695"/>
    <d v="2025-04-08T00:00:00"/>
    <x v="0"/>
    <x v="0"/>
    <d v="2025-04-08T00:00:00"/>
    <n v="7"/>
    <s v="Ap Cap"/>
    <s v="Concepción"/>
    <s v="Directo"/>
    <s v="Pmunoz"/>
    <s v="Aporte Período 2025"/>
    <n v="7"/>
    <n v="0"/>
    <n v="0"/>
    <m/>
    <n v="216139"/>
    <n v="216139"/>
    <n v="0"/>
    <n v="0"/>
    <s v="Socio Nuevo 2025"/>
  </r>
  <r>
    <n v="10"/>
    <n v="64431"/>
    <n v="0"/>
    <n v="0"/>
    <s v="76.986.494-6"/>
    <s v="Comercial Brisas Spa"/>
    <n v="1"/>
    <n v="2041629"/>
    <d v="2025-04-08T00:00:00"/>
    <x v="0"/>
    <x v="0"/>
    <d v="2025-04-08T00:00:00"/>
    <n v="7"/>
    <s v="Ap Cap"/>
    <s v="Concepción"/>
    <s v="Directo"/>
    <s v="Pmunoz"/>
    <s v="Aporte Período 2025"/>
    <n v="7"/>
    <n v="0"/>
    <n v="0"/>
    <m/>
    <n v="142914"/>
    <n v="142914"/>
    <n v="0"/>
    <n v="0"/>
    <s v="Socio Nuevo 2025"/>
  </r>
  <r>
    <n v="11"/>
    <n v="64353"/>
    <n v="0"/>
    <n v="0"/>
    <s v="96.971.680-1"/>
    <s v="Astilleros Calbuco S.a."/>
    <n v="1"/>
    <n v="1622151"/>
    <d v="2025-03-25T00:00:00"/>
    <x v="1"/>
    <x v="0"/>
    <d v="2025-03-25T00:00:00"/>
    <n v="14"/>
    <s v="Ap Cap"/>
    <s v="Puerto Montt"/>
    <s v="Directo"/>
    <s v="Cparada"/>
    <s v="Aporte Período 2025"/>
    <n v="7"/>
    <n v="7"/>
    <n v="0"/>
    <m/>
    <n v="227101"/>
    <n v="113551"/>
    <n v="113551"/>
    <n v="0"/>
    <s v="Socio Nuevo 2025"/>
  </r>
  <r>
    <n v="12"/>
    <n v="64354"/>
    <n v="0"/>
    <n v="0"/>
    <s v="95.632.000-3"/>
    <s v="Pesquera La Portada S.a."/>
    <n v="1"/>
    <n v="11064017"/>
    <d v="2025-03-25T00:00:00"/>
    <x v="1"/>
    <x v="0"/>
    <d v="2025-03-25T00:00:00"/>
    <n v="14"/>
    <s v="Ap Cap"/>
    <s v="Puerto Montt"/>
    <s v="Directo"/>
    <s v="Cparada"/>
    <s v="Aporte Período 2025"/>
    <n v="7"/>
    <n v="7"/>
    <n v="0"/>
    <m/>
    <n v="1548962"/>
    <n v="774481"/>
    <n v="774481"/>
    <n v="0"/>
    <s v="Socio Nuevo 2025"/>
  </r>
  <r>
    <n v="13"/>
    <n v="64334"/>
    <n v="0"/>
    <n v="0"/>
    <s v="94.365.000-4"/>
    <s v="La Península S.a."/>
    <n v="1"/>
    <n v="10472789"/>
    <d v="2025-03-21T00:00:00"/>
    <x v="1"/>
    <x v="0"/>
    <d v="2025-03-21T00:00:00"/>
    <n v="14"/>
    <s v="Ap Cap"/>
    <s v="Puerto Montt"/>
    <s v="Directo"/>
    <s v="Cparada"/>
    <s v="Aporte Período 2025"/>
    <n v="7"/>
    <n v="7"/>
    <n v="0"/>
    <m/>
    <n v="1466190"/>
    <n v="733095"/>
    <n v="733095"/>
    <n v="0"/>
    <s v="Socio Nuevo 2025"/>
  </r>
  <r>
    <n v="14"/>
    <n v="64201"/>
    <n v="0"/>
    <n v="0"/>
    <s v="79.797.990-2"/>
    <s v="Invermar S.a."/>
    <n v="1"/>
    <n v="57312526"/>
    <d v="2025-03-12T00:00:00"/>
    <x v="1"/>
    <x v="0"/>
    <d v="2025-03-12T00:00:00"/>
    <n v="14"/>
    <s v="Ap Cap"/>
    <s v="Puerto Montt"/>
    <s v="Directo"/>
    <s v="Cparada"/>
    <s v="Aporte Período 2025"/>
    <n v="7"/>
    <n v="7"/>
    <n v="0"/>
    <m/>
    <n v="8023754"/>
    <n v="4011877"/>
    <n v="4011877"/>
    <n v="0"/>
    <s v="Socio Nuevo 2025"/>
  </r>
  <r>
    <n v="15"/>
    <n v="64175"/>
    <n v="0"/>
    <n v="0"/>
    <s v="87.765.000-6"/>
    <s v="Comercial Ruver Ltda "/>
    <n v="1"/>
    <n v="1611613"/>
    <d v="2025-03-10T00:00:00"/>
    <x v="1"/>
    <x v="0"/>
    <d v="2025-03-10T00:00:00"/>
    <n v="7"/>
    <s v="Ap Cap"/>
    <s v="Concepción"/>
    <s v="Directo"/>
    <s v="Pmunoz"/>
    <s v="Aporte Período 2025"/>
    <n v="7"/>
    <n v="0"/>
    <n v="0"/>
    <m/>
    <n v="112813"/>
    <n v="112813"/>
    <n v="0"/>
    <n v="0"/>
    <s v="Socio Nuevo 2025"/>
  </r>
  <r>
    <n v="16"/>
    <n v="64176"/>
    <n v="0"/>
    <n v="0"/>
    <s v="76.986.494-6"/>
    <s v="Comercial Brisas Spa"/>
    <n v="1"/>
    <n v="2007599"/>
    <d v="2025-03-10T00:00:00"/>
    <x v="1"/>
    <x v="0"/>
    <d v="2025-03-10T00:00:00"/>
    <n v="7"/>
    <s v="Ap Cap"/>
    <s v="Concepción"/>
    <s v="Directo"/>
    <s v="Pmunoz"/>
    <s v="Aporte Período 2025"/>
    <n v="7"/>
    <n v="0"/>
    <n v="0"/>
    <m/>
    <n v="140532"/>
    <n v="140532"/>
    <n v="0"/>
    <n v="0"/>
    <s v="Socio Nuevo 2025"/>
  </r>
  <r>
    <n v="17"/>
    <n v="64177"/>
    <n v="0"/>
    <n v="0"/>
    <s v="78.129.870-0"/>
    <s v="Comercial Yolanda Ltda"/>
    <n v="1"/>
    <n v="3074449"/>
    <d v="2025-03-10T00:00:00"/>
    <x v="1"/>
    <x v="0"/>
    <d v="2025-03-10T00:00:00"/>
    <n v="7"/>
    <s v="Ap Cap"/>
    <s v="Concepción"/>
    <s v="Directo"/>
    <s v="Pmunoz"/>
    <s v="Aporte Período 2025"/>
    <n v="7"/>
    <n v="0"/>
    <n v="0"/>
    <m/>
    <n v="215211"/>
    <n v="215211"/>
    <n v="0"/>
    <n v="0"/>
    <s v="Socio Nuevo 2025"/>
  </r>
  <r>
    <n v="18"/>
    <n v="64066"/>
    <n v="0"/>
    <n v="0"/>
    <s v="89.010.200-k"/>
    <s v="Importadora Alsacia Spa"/>
    <n v="1"/>
    <n v="7000000"/>
    <d v="2025-02-18T00:00:00"/>
    <x v="2"/>
    <x v="0"/>
    <d v="2025-02-18T00:00:00"/>
    <n v="5"/>
    <s v="Ap Cap"/>
    <s v="Santiago"/>
    <s v="Directo"/>
    <s v="Valarcon"/>
    <s v="Aporte Período 2025"/>
    <n v="5"/>
    <n v="0"/>
    <n v="0"/>
    <m/>
    <n v="350000"/>
    <n v="350000"/>
    <n v="0"/>
    <n v="0"/>
    <s v="Socio Nuevo 2025"/>
  </r>
  <r>
    <n v="19"/>
    <n v="63730"/>
    <n v="0"/>
    <n v="0"/>
    <s v="78.129.870-0"/>
    <s v="Comercial Yolanda Ltda"/>
    <n v="1"/>
    <n v="3112140"/>
    <d v="2025-02-10T00:00:00"/>
    <x v="2"/>
    <x v="0"/>
    <d v="2025-02-10T00:00:00"/>
    <n v="7"/>
    <s v="Ap Cap"/>
    <s v="Concepción"/>
    <s v="Directo"/>
    <s v="Pmunoz"/>
    <s v="Aporte Período 2025"/>
    <n v="7"/>
    <n v="0"/>
    <n v="0"/>
    <m/>
    <n v="217850"/>
    <n v="217850"/>
    <n v="0"/>
    <n v="0"/>
    <s v="Socio Nuevo 2025"/>
  </r>
  <r>
    <n v="20"/>
    <n v="63728"/>
    <n v="0"/>
    <n v="0"/>
    <s v="76.986.494-6"/>
    <s v="Comercial Brisas Spa"/>
    <n v="1"/>
    <n v="2105949"/>
    <d v="2025-02-07T00:00:00"/>
    <x v="2"/>
    <x v="0"/>
    <d v="2025-02-07T00:00:00"/>
    <n v="7"/>
    <s v="Ap Cap"/>
    <s v="Concepción"/>
    <s v="Directo"/>
    <s v="Pmunoz"/>
    <s v="Aporte Período 2025"/>
    <n v="7"/>
    <n v="0"/>
    <n v="0"/>
    <m/>
    <n v="147416"/>
    <n v="147416"/>
    <n v="0"/>
    <n v="0"/>
    <s v="Socio Nuevo 2025"/>
  </r>
  <r>
    <n v="21"/>
    <n v="63729"/>
    <n v="0"/>
    <n v="0"/>
    <s v="87.765.000-6"/>
    <s v="Comercial Ruver Ltda "/>
    <n v="1"/>
    <n v="1614021"/>
    <d v="2025-02-07T00:00:00"/>
    <x v="2"/>
    <x v="0"/>
    <d v="2025-02-07T00:00:00"/>
    <n v="7"/>
    <s v="Ap Cap"/>
    <s v="Concepción"/>
    <s v="Directo"/>
    <s v="Pmunoz"/>
    <s v="Aporte Período 2025"/>
    <n v="7"/>
    <n v="0"/>
    <n v="0"/>
    <m/>
    <n v="112981"/>
    <n v="112981"/>
    <n v="0"/>
    <n v="0"/>
    <s v="Socio Nuevo 2025"/>
  </r>
  <r>
    <n v="22"/>
    <n v="63586"/>
    <n v="0"/>
    <n v="0"/>
    <s v="78.297.510-2"/>
    <s v="Medicina Técnica Ltda."/>
    <n v="1"/>
    <n v="2976471"/>
    <d v="2025-01-20T00:00:00"/>
    <x v="3"/>
    <x v="0"/>
    <d v="2025-01-20T00:00:00"/>
    <n v="15"/>
    <s v="Ap Cap"/>
    <s v="Santiago"/>
    <s v="Directo"/>
    <s v="Cosorio"/>
    <s v="Aporte Período 2025"/>
    <n v="15"/>
    <n v="0"/>
    <n v="0"/>
    <m/>
    <n v="446471"/>
    <n v="446471"/>
    <n v="0"/>
    <n v="0"/>
    <s v="Socio Nuevo 2025"/>
  </r>
  <r>
    <n v="23"/>
    <n v="62572"/>
    <n v="0"/>
    <n v="0"/>
    <s v="77.204.971-4"/>
    <s v="Vimal Chile Spa "/>
    <n v="1"/>
    <m/>
    <d v="2025-01-02T00:00:00"/>
    <x v="3"/>
    <x v="0"/>
    <d v="2025-01-02T00:00:00"/>
    <n v="15"/>
    <s v="Ap Cap"/>
    <s v="Maule"/>
    <s v="Directo"/>
    <s v="Pmunoz"/>
    <s v="Aporte Período 2025"/>
    <n v="15"/>
    <n v="0"/>
    <n v="0"/>
    <m/>
    <n v="0"/>
    <n v="0"/>
    <n v="0"/>
    <n v="0"/>
    <s v="Socio Nuevo 2025"/>
  </r>
  <r>
    <n v="1"/>
    <n v="70123"/>
    <n v="0"/>
    <n v="0"/>
    <s v="76.176.508-6"/>
    <s v="Youtopia Holding S.a"/>
    <n v="1"/>
    <n v="1431108"/>
    <d v="2026-04-27T00:00:00"/>
    <x v="0"/>
    <x v="1"/>
    <m/>
    <n v="6"/>
    <s v="Ap Cap"/>
    <s v="Santiago"/>
    <s v="Directo"/>
    <s v="Cosorio"/>
    <s v="Aporte Período 2026"/>
    <n v="6"/>
    <n v="0"/>
    <n v="0"/>
    <m/>
    <n v="85866"/>
    <n v="85866"/>
    <n v="0"/>
    <n v="0"/>
    <s v="Socio Nuevo 2026"/>
  </r>
  <r>
    <n v="2"/>
    <n v="70124"/>
    <n v="0"/>
    <n v="0"/>
    <s v="76.187.179-k"/>
    <s v="Youtopia Trapenses Spa"/>
    <n v="1"/>
    <n v="6757826"/>
    <d v="2026-04-27T00:00:00"/>
    <x v="0"/>
    <x v="1"/>
    <m/>
    <n v="6"/>
    <s v="Ap Cap"/>
    <s v="Santiago"/>
    <s v="Directo"/>
    <s v="Cosorio"/>
    <s v="Aporte Período 2026"/>
    <n v="6"/>
    <n v="0"/>
    <n v="0"/>
    <m/>
    <n v="405470"/>
    <n v="405470"/>
    <n v="0"/>
    <n v="0"/>
    <s v="Socio Nuevo 2026"/>
  </r>
  <r>
    <n v="3"/>
    <n v="70125"/>
    <n v="0"/>
    <n v="0"/>
    <s v="76.432.503-6"/>
    <s v="Youtopia Salud Spa"/>
    <n v="1"/>
    <n v="20227954"/>
    <d v="2026-04-27T00:00:00"/>
    <x v="0"/>
    <x v="1"/>
    <m/>
    <n v="6"/>
    <s v="Ap Cap"/>
    <s v="Santiago"/>
    <s v="Directo"/>
    <s v="Cosorio"/>
    <s v="Aporte Período 2026"/>
    <n v="6"/>
    <n v="0"/>
    <n v="0"/>
    <m/>
    <n v="1213677"/>
    <n v="1213677"/>
    <n v="0"/>
    <n v="0"/>
    <s v="Socio Nuevo 2026"/>
  </r>
  <r>
    <n v="4"/>
    <n v="70126"/>
    <n v="0"/>
    <n v="0"/>
    <s v="76.775.218-0"/>
    <s v="Youtopia Isidora Spa"/>
    <n v="1"/>
    <n v="1190280"/>
    <d v="2026-04-27T00:00:00"/>
    <x v="0"/>
    <x v="1"/>
    <m/>
    <n v="6"/>
    <s v="Ap Cap"/>
    <s v="Santiago"/>
    <s v="Directo"/>
    <s v="Cosorio"/>
    <s v="Aporte Período 2026"/>
    <n v="6"/>
    <n v="0"/>
    <n v="0"/>
    <m/>
    <n v="71417"/>
    <n v="71417"/>
    <n v="0"/>
    <n v="0"/>
    <s v="Socio Nuevo 2026"/>
  </r>
  <r>
    <n v="5"/>
    <n v="70127"/>
    <n v="0"/>
    <n v="0"/>
    <s v="77.223.245-4"/>
    <s v="Youtopia Vitacura Spa"/>
    <n v="1"/>
    <n v="13611900"/>
    <d v="2026-04-27T00:00:00"/>
    <x v="0"/>
    <x v="1"/>
    <m/>
    <n v="6"/>
    <s v="Ap Cap"/>
    <s v="Santiago"/>
    <s v="Directo"/>
    <s v="Cosorio"/>
    <s v="Aporte Período 2026"/>
    <n v="6"/>
    <n v="0"/>
    <n v="0"/>
    <m/>
    <n v="816714"/>
    <n v="816714"/>
    <n v="0"/>
    <n v="0"/>
    <s v="Socio Nuevo 2026"/>
  </r>
  <r>
    <n v="6"/>
    <n v="70128"/>
    <n v="0"/>
    <n v="0"/>
    <s v="77.836.523-5"/>
    <s v="Younique Latam Spa"/>
    <n v="1"/>
    <n v="2387964"/>
    <d v="2026-04-27T00:00:00"/>
    <x v="0"/>
    <x v="1"/>
    <m/>
    <n v="6"/>
    <s v="Ap Cap"/>
    <s v="Santiago"/>
    <s v="Directo"/>
    <s v="Cosorio"/>
    <s v="Aporte Período 2026"/>
    <n v="6"/>
    <n v="0"/>
    <n v="0"/>
    <m/>
    <n v="143278"/>
    <n v="143278"/>
    <n v="0"/>
    <n v="0"/>
    <s v="Socio Nuevo 2026"/>
  </r>
  <r>
    <n v="7"/>
    <n v="70153"/>
    <n v="0"/>
    <n v="0"/>
    <s v="76.466.068-4"/>
    <s v="Sociedad Concesionaria Nuevo Pudahuel S.a."/>
    <n v="1"/>
    <n v="4550000"/>
    <d v="2026-04-24T00:00:00"/>
    <x v="0"/>
    <x v="1"/>
    <m/>
    <n v="8"/>
    <s v="Ap Cap"/>
    <s v="Santiago"/>
    <s v="Directo"/>
    <s v="Lbravo"/>
    <s v="Aporte Período 2026"/>
    <n v="8"/>
    <n v="0"/>
    <n v="0"/>
    <m/>
    <n v="364000"/>
    <n v="364000"/>
    <n v="0"/>
    <n v="0"/>
    <s v="Socio Nuevo 2026"/>
  </r>
  <r>
    <n v="8"/>
    <n v="70139"/>
    <n v="0"/>
    <n v="0"/>
    <s v="76.344.044-3"/>
    <s v="Audigestion Spa"/>
    <n v="1"/>
    <n v="272000"/>
    <d v="2026-04-22T00:00:00"/>
    <x v="0"/>
    <x v="1"/>
    <m/>
    <n v="8"/>
    <s v="Ap Cap"/>
    <s v="La Serena"/>
    <s v="Directo"/>
    <s v="Gcontreras"/>
    <s v="Aporte Período 2026"/>
    <n v="8"/>
    <n v="0"/>
    <n v="0"/>
    <m/>
    <n v="21760"/>
    <n v="21760"/>
    <n v="0"/>
    <n v="0"/>
    <s v="Socio Nuevo 2026"/>
  </r>
  <r>
    <n v="9"/>
    <n v="70067"/>
    <n v="0"/>
    <n v="0"/>
    <s v="96.606.310-6"/>
    <s v="Bredenmaster Spa"/>
    <n v="1"/>
    <n v="5700000"/>
    <d v="2026-04-16T00:00:00"/>
    <x v="0"/>
    <x v="1"/>
    <m/>
    <n v="4"/>
    <s v="Ap Cap"/>
    <s v="Santiago"/>
    <s v="Directo"/>
    <s v="Valarcon"/>
    <s v="Aporte Período 2026"/>
    <n v="4"/>
    <n v="0"/>
    <n v="0"/>
    <m/>
    <n v="228000"/>
    <n v="228000"/>
    <n v="0"/>
    <n v="0"/>
    <s v="Socio Nuevo 2026"/>
  </r>
  <r>
    <n v="10"/>
    <n v="70041"/>
    <n v="0"/>
    <n v="0"/>
    <s v="76.065.151-6"/>
    <s v="Eco Servicios S.a"/>
    <n v="1"/>
    <n v="1250000"/>
    <d v="2026-04-14T00:00:00"/>
    <x v="0"/>
    <x v="1"/>
    <m/>
    <n v="15"/>
    <s v="Ap Cap"/>
    <s v="Santiago"/>
    <s v="Directo"/>
    <s v="Valarcon"/>
    <s v="Aporte Período 2026"/>
    <n v="15"/>
    <n v="0"/>
    <n v="0"/>
    <m/>
    <n v="187500"/>
    <n v="187500"/>
    <n v="0"/>
    <n v="0"/>
    <s v="Socio Nuevo 2026"/>
  </r>
  <r>
    <n v="11"/>
    <n v="70004"/>
    <n v="0"/>
    <n v="0"/>
    <s v="77.545.580-2"/>
    <s v="Inversiones Trektrading Spa"/>
    <n v="1"/>
    <n v="7000000"/>
    <d v="2026-04-09T00:00:00"/>
    <x v="0"/>
    <x v="1"/>
    <m/>
    <n v="15"/>
    <s v="Ap Cap"/>
    <s v="Antofagasta"/>
    <s v="Directo"/>
    <s v="Jmolina"/>
    <s v="Aporte Período 2026"/>
    <n v="7"/>
    <n v="8"/>
    <n v="0"/>
    <m/>
    <n v="1050000"/>
    <n v="490000"/>
    <n v="560000"/>
    <n v="0"/>
    <s v="Socio Nuevo 2026"/>
  </r>
  <r>
    <n v="12"/>
    <n v="70005"/>
    <n v="0"/>
    <n v="0"/>
    <s v="77.545.580-2"/>
    <s v="Inversiones Trektrading Spa"/>
    <n v="1"/>
    <n v="7000000"/>
    <d v="2026-04-09T00:00:00"/>
    <x v="0"/>
    <x v="1"/>
    <m/>
    <n v="15"/>
    <s v="Ap Cap"/>
    <s v="Antofagasta"/>
    <s v="Directo"/>
    <s v="Jmolina"/>
    <s v="Aporte Período 2026"/>
    <n v="7"/>
    <n v="8"/>
    <n v="0"/>
    <m/>
    <n v="1050000"/>
    <n v="490000"/>
    <n v="560000"/>
    <n v="0"/>
    <s v="Socio Nuevo 2026"/>
  </r>
  <r>
    <n v="13"/>
    <n v="70006"/>
    <n v="0"/>
    <n v="0"/>
    <s v="77.545.580-2"/>
    <s v="Inversiones Trektrading Spa"/>
    <n v="1"/>
    <n v="6500000"/>
    <d v="2026-04-09T00:00:00"/>
    <x v="0"/>
    <x v="1"/>
    <m/>
    <n v="15"/>
    <s v="Ap Cap"/>
    <s v="Antofagasta"/>
    <s v="Directo"/>
    <s v="Jmolina"/>
    <s v="Aporte Período 2026"/>
    <n v="7"/>
    <n v="8"/>
    <n v="0"/>
    <m/>
    <n v="975000"/>
    <n v="455000"/>
    <n v="520000"/>
    <n v="0"/>
    <s v="Socio Nuevo 2026"/>
  </r>
  <r>
    <n v="14"/>
    <n v="69991"/>
    <n v="0"/>
    <n v="0"/>
    <s v="76.641.876-7"/>
    <s v="Uhco S.a."/>
    <n v="1"/>
    <n v="4000000"/>
    <d v="2026-04-08T00:00:00"/>
    <x v="0"/>
    <x v="1"/>
    <m/>
    <n v="15"/>
    <s v="Ap Cap"/>
    <s v="Antofagasta"/>
    <s v="Directo"/>
    <s v="Jmolina"/>
    <s v="Aporte Período 2026"/>
    <n v="5"/>
    <n v="10"/>
    <n v="0"/>
    <m/>
    <n v="600000"/>
    <n v="200000"/>
    <n v="400000"/>
    <n v="0"/>
    <s v="Socio Nuevo 2026"/>
  </r>
  <r>
    <n v="15"/>
    <n v="69985"/>
    <n v="0"/>
    <n v="0"/>
    <s v="93.545.000-4"/>
    <s v="Sociedad De Servicios Técnicos Geológicos Geotec Boyles Bros S.a"/>
    <n v="1"/>
    <n v="53000000"/>
    <d v="2026-04-08T00:00:00"/>
    <x v="0"/>
    <x v="1"/>
    <m/>
    <n v="15"/>
    <s v="Ap Cap"/>
    <s v="Antofagasta"/>
    <s v="Directo"/>
    <s v="Jmolina"/>
    <s v="Aporte Período 2026"/>
    <n v="5"/>
    <n v="10"/>
    <n v="0"/>
    <m/>
    <n v="7950000"/>
    <n v="2650000"/>
    <n v="5300000"/>
    <n v="0"/>
    <s v="Socio Nuevo 2026"/>
  </r>
  <r>
    <n v="16"/>
    <n v="69941"/>
    <n v="0"/>
    <n v="0"/>
    <s v="76.541.298-6"/>
    <s v="Sociedad De Telemedicina Apsorad Spa"/>
    <n v="1"/>
    <n v="150000"/>
    <d v="2026-03-31T00:00:00"/>
    <x v="1"/>
    <x v="1"/>
    <m/>
    <n v="10"/>
    <s v="Ap Cap"/>
    <s v="Santiago"/>
    <s v="Directo"/>
    <s v="Bsilva"/>
    <s v="Aporte Período 2026"/>
    <n v="10"/>
    <n v="0"/>
    <n v="0"/>
    <m/>
    <n v="15000"/>
    <n v="15000"/>
    <n v="0"/>
    <n v="0"/>
    <s v="Socio Nuevo 2026"/>
  </r>
  <r>
    <n v="17"/>
    <n v="69748"/>
    <n v="0"/>
    <n v="0"/>
    <s v="96.995.150-9"/>
    <s v="Sura Data Chile S.a."/>
    <n v="1"/>
    <n v="1918035"/>
    <d v="2026-03-25T00:00:00"/>
    <x v="1"/>
    <x v="1"/>
    <m/>
    <n v="12"/>
    <s v="Ap Cap"/>
    <s v="Santiago"/>
    <s v="Directo"/>
    <s v="Valarcon"/>
    <s v="Aporte Período 2026"/>
    <n v="5"/>
    <n v="7"/>
    <n v="0"/>
    <m/>
    <n v="230164"/>
    <n v="95902"/>
    <n v="134262"/>
    <n v="0"/>
    <s v="Socio Nuevo 2026"/>
  </r>
  <r>
    <n v="18"/>
    <n v="69749"/>
    <n v="0"/>
    <n v="0"/>
    <s v="87.908.100-9"/>
    <s v="Sura Asset Management Chile S.a"/>
    <n v="1"/>
    <n v="715823"/>
    <d v="2026-03-24T00:00:00"/>
    <x v="1"/>
    <x v="1"/>
    <m/>
    <n v="12"/>
    <s v="Ap Cap"/>
    <s v="Santiago"/>
    <s v="Directo"/>
    <s v="Valarcon"/>
    <s v="Aporte Período 2026"/>
    <n v="5"/>
    <n v="7"/>
    <n v="0"/>
    <m/>
    <n v="85899"/>
    <n v="35791"/>
    <n v="50108"/>
    <n v="0"/>
    <s v="Socio Nuevo 2026"/>
  </r>
  <r>
    <n v="19"/>
    <n v="69837"/>
    <n v="0"/>
    <n v="0"/>
    <s v="76.466.068-4"/>
    <s v="Sociedad Concesionaria Nuevo Pudahuel S.a."/>
    <n v="1"/>
    <n v="4550000"/>
    <d v="2026-03-20T00:00:00"/>
    <x v="1"/>
    <x v="1"/>
    <m/>
    <n v="8"/>
    <s v="Ap Cap"/>
    <s v="Santiago"/>
    <s v="Directo"/>
    <s v="Lbravo"/>
    <s v="Aporte Período 2026"/>
    <n v="8"/>
    <n v="0"/>
    <n v="0"/>
    <m/>
    <n v="364000"/>
    <n v="364000"/>
    <n v="0"/>
    <n v="0"/>
    <s v="Socio Nuevo 2026"/>
  </r>
  <r>
    <n v="20"/>
    <n v="69746"/>
    <n v="0"/>
    <n v="0"/>
    <s v="98.000.000-1"/>
    <s v="Administradora De Fondos De Pensiones Capital S.a"/>
    <n v="1"/>
    <n v="28749541"/>
    <d v="2026-03-19T00:00:00"/>
    <x v="1"/>
    <x v="1"/>
    <m/>
    <n v="12"/>
    <s v="Ap Cap"/>
    <s v="Santiago"/>
    <s v="Directo"/>
    <s v="Valarcon"/>
    <s v="Aporte Período 2026"/>
    <n v="5"/>
    <n v="7"/>
    <n v="0"/>
    <m/>
    <n v="3449945"/>
    <n v="1437477"/>
    <n v="2012468"/>
    <n v="0"/>
    <s v="Socio Nuevo 2026"/>
  </r>
  <r>
    <n v="21"/>
    <n v="69747"/>
    <n v="0"/>
    <n v="0"/>
    <s v="98.000.000-1"/>
    <s v="Administradora De Fondos De Pensiones Capital S.a"/>
    <n v="1"/>
    <n v="29650410"/>
    <d v="2026-03-19T00:00:00"/>
    <x v="1"/>
    <x v="1"/>
    <m/>
    <n v="12"/>
    <s v="Ap Cap"/>
    <s v="Santiago"/>
    <s v="Directo"/>
    <s v="Valarcon"/>
    <s v="Aporte Período 2026"/>
    <n v="5"/>
    <n v="7"/>
    <n v="0"/>
    <m/>
    <n v="3558049"/>
    <n v="1482520"/>
    <n v="2075529"/>
    <n v="0"/>
    <s v="Socio Nuevo 2026"/>
  </r>
  <r>
    <n v="22"/>
    <n v="69818"/>
    <n v="0"/>
    <n v="0"/>
    <s v="77.851.804-k"/>
    <s v="Fr Group Servicios Generales Spa"/>
    <n v="1"/>
    <n v="2000000"/>
    <d v="2026-03-13T00:00:00"/>
    <x v="1"/>
    <x v="1"/>
    <m/>
    <n v="8"/>
    <s v="Ap Cap"/>
    <s v="Santiago"/>
    <s v="Directo"/>
    <s v="Lbravo"/>
    <s v="Aporte Período 2026"/>
    <n v="8"/>
    <n v="0"/>
    <n v="0"/>
    <m/>
    <n v="160000"/>
    <n v="160000"/>
    <n v="0"/>
    <n v="0"/>
    <s v="Socio Nuevo 2026"/>
  </r>
  <r>
    <n v="23"/>
    <n v="69787"/>
    <n v="0"/>
    <n v="0"/>
    <s v="79.619.240-2"/>
    <s v="Fr Group Corredores De Seguros Spa"/>
    <n v="1"/>
    <n v="5000000"/>
    <d v="2026-03-13T00:00:00"/>
    <x v="1"/>
    <x v="1"/>
    <m/>
    <n v="8"/>
    <s v="Ap Cap"/>
    <s v="Santiago"/>
    <s v="Directo"/>
    <s v="Lbravo"/>
    <s v="Aporte Período 2026"/>
    <n v="8"/>
    <n v="0"/>
    <n v="0"/>
    <m/>
    <n v="400000"/>
    <n v="400000"/>
    <n v="0"/>
    <n v="0"/>
    <s v="Socio Nuevo 2026"/>
  </r>
  <r>
    <n v="24"/>
    <n v="69764"/>
    <n v="0"/>
    <n v="0"/>
    <s v="76.047.265-4"/>
    <s v="Comercializadora Skechers Chile Limitada"/>
    <n v="1"/>
    <n v="10418124"/>
    <d v="2026-03-13T00:00:00"/>
    <x v="1"/>
    <x v="1"/>
    <m/>
    <n v="15"/>
    <s v="Ap Cap"/>
    <s v="Santiago"/>
    <s v="Directo"/>
    <s v="Valarcon"/>
    <s v="Aporte Período 2026"/>
    <n v="2"/>
    <n v="13"/>
    <n v="0"/>
    <m/>
    <n v="1562719"/>
    <n v="208362"/>
    <n v="1354356"/>
    <n v="0"/>
    <s v="Socio Nuevo 2026"/>
  </r>
  <r>
    <n v="25"/>
    <n v="69700"/>
    <n v="0"/>
    <n v="0"/>
    <s v="93.545.000-4"/>
    <s v="Sociedad De Servicios Técnicos Geológicos Geotec Boyles Bros S.a"/>
    <n v="1"/>
    <n v="53000000"/>
    <d v="2026-03-04T00:00:00"/>
    <x v="1"/>
    <x v="1"/>
    <m/>
    <n v="15"/>
    <s v="Ap Cap"/>
    <s v="Antofagasta"/>
    <s v="Directo"/>
    <s v="Jmolina"/>
    <s v="Aporte Período 2026"/>
    <n v="5"/>
    <n v="10"/>
    <n v="0"/>
    <m/>
    <n v="7950000"/>
    <n v="2650000"/>
    <n v="5300000"/>
    <n v="0"/>
    <s v="Socio Nuevo 2026"/>
  </r>
  <r>
    <n v="26"/>
    <n v="69684"/>
    <n v="0"/>
    <n v="0"/>
    <s v="76.466.068-4"/>
    <s v="Sociedad Concesionaria Nuevo Pudahuel S.a."/>
    <n v="1"/>
    <n v="4550000"/>
    <d v="2026-03-02T00:00:00"/>
    <x v="1"/>
    <x v="1"/>
    <m/>
    <n v="8"/>
    <s v="Ap Cap"/>
    <s v="Santiago"/>
    <s v="Directo"/>
    <s v="Lbravo"/>
    <s v="Aporte Período 2026"/>
    <n v="8"/>
    <n v="0"/>
    <n v="0"/>
    <m/>
    <n v="364000"/>
    <n v="364000"/>
    <n v="0"/>
    <n v="0"/>
    <s v="Socio Nuevo 2026"/>
  </r>
  <r>
    <n v="27"/>
    <n v="69451"/>
    <n v="0"/>
    <n v="0"/>
    <s v="76.047.265-4"/>
    <s v="Comercializadora Skechers Chile Limitada"/>
    <n v="1"/>
    <n v="7000000"/>
    <d v="2026-02-26T00:00:00"/>
    <x v="2"/>
    <x v="1"/>
    <m/>
    <n v="15"/>
    <s v="Ap Cap"/>
    <s v="Santiago"/>
    <s v="Directo"/>
    <s v="Valarcon"/>
    <s v="Aporte Período 2026"/>
    <n v="2"/>
    <n v="13"/>
    <n v="0"/>
    <m/>
    <n v="1050000"/>
    <n v="140000"/>
    <n v="910000"/>
    <n v="0"/>
    <s v="Socio Nuevo 2026"/>
  </r>
  <r>
    <n v="28"/>
    <n v="69452"/>
    <n v="0"/>
    <n v="0"/>
    <s v="76.047.265-4"/>
    <s v="Comercializadora Skechers Chile Limitada"/>
    <n v="1"/>
    <n v="4269881"/>
    <d v="2026-02-26T00:00:00"/>
    <x v="2"/>
    <x v="1"/>
    <m/>
    <n v="15"/>
    <s v="Ap Cap"/>
    <s v="Santiago"/>
    <s v="Directo"/>
    <s v="Valarcon"/>
    <s v="Aporte Período 2026"/>
    <n v="2"/>
    <n v="13"/>
    <n v="0"/>
    <m/>
    <n v="640482"/>
    <n v="85398"/>
    <n v="555085"/>
    <n v="0"/>
    <s v="Socio Nuevo 2026"/>
  </r>
  <r>
    <n v="29"/>
    <n v="69272"/>
    <n v="0"/>
    <n v="0"/>
    <s v="96.768.160-1"/>
    <s v="Hotelera Santa Magdalena S.a."/>
    <n v="1"/>
    <n v="1000000"/>
    <d v="2026-02-13T00:00:00"/>
    <x v="2"/>
    <x v="1"/>
    <m/>
    <n v="12"/>
    <s v="Ap Cap"/>
    <s v="Santiago"/>
    <s v="Directo"/>
    <s v="Bsilva"/>
    <s v="Aporte Período 2026"/>
    <n v="12"/>
    <n v="0"/>
    <n v="0"/>
    <m/>
    <n v="120000"/>
    <n v="120000"/>
    <n v="0"/>
    <n v="0"/>
    <s v="Socio Nuevo 2026"/>
  </r>
  <r>
    <n v="30"/>
    <n v="69322"/>
    <n v="0"/>
    <n v="0"/>
    <s v="76.541.298-6"/>
    <s v="Sociedad De Telemedicina Apsorad Spa"/>
    <n v="1"/>
    <n v="400000"/>
    <d v="2026-01-30T00:00:00"/>
    <x v="3"/>
    <x v="1"/>
    <m/>
    <n v="10"/>
    <s v="Ap Cap"/>
    <s v="Santiago"/>
    <s v="Directo"/>
    <s v="Bsilva"/>
    <s v="Aporte Período 2026"/>
    <n v="10"/>
    <n v="0"/>
    <n v="0"/>
    <m/>
    <n v="40000"/>
    <n v="40000"/>
    <n v="0"/>
    <n v="0"/>
    <s v="Socio Nuevo 2026"/>
  </r>
  <r>
    <n v="31"/>
    <n v="69213"/>
    <n v="0"/>
    <n v="0"/>
    <s v="70.885.500-6"/>
    <s v="Universidad De Talca"/>
    <n v="1"/>
    <n v="120000000"/>
    <d v="2026-01-12T00:00:00"/>
    <x v="3"/>
    <x v="1"/>
    <m/>
    <n v="13"/>
    <s v="Ap Cap"/>
    <s v="Maule"/>
    <s v="Directo"/>
    <s v="Pmunoz"/>
    <s v="Aporte Período 2026"/>
    <n v="0"/>
    <n v="13"/>
    <n v="0"/>
    <m/>
    <n v="15600000"/>
    <n v="0"/>
    <n v="15600000"/>
    <n v="0"/>
    <s v="Socio Nuevo 20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n v="1"/>
    <n v="70724"/>
    <n v="0"/>
    <n v="0"/>
    <x v="0"/>
    <x v="0"/>
    <n v="1"/>
    <n v="500000"/>
    <d v="2026-06-19T00:00:00"/>
    <m/>
    <n v="15"/>
    <s v="Ap Cap"/>
    <x v="0"/>
    <s v="Directo"/>
    <s v="Jmolina"/>
    <s v="Aporte Período 2026"/>
    <n v="7"/>
    <n v="8"/>
    <n v="0"/>
    <m/>
    <n v="75000"/>
    <n v="35000"/>
    <n v="40000"/>
    <n v="0"/>
    <s v="Socio Nuevo 2026"/>
  </r>
  <r>
    <n v="2"/>
    <n v="70725"/>
    <n v="0"/>
    <n v="0"/>
    <x v="0"/>
    <x v="0"/>
    <n v="1"/>
    <n v="5000000"/>
    <d v="2026-06-19T00:00:00"/>
    <m/>
    <n v="15"/>
    <s v="Ap Cap"/>
    <x v="0"/>
    <s v="Directo"/>
    <s v="Jmolina"/>
    <s v="Aporte Período 2026"/>
    <n v="7"/>
    <n v="8"/>
    <n v="0"/>
    <m/>
    <n v="750000"/>
    <n v="350000"/>
    <n v="400000"/>
    <n v="0"/>
    <s v="Socio Nuevo 2026"/>
  </r>
  <r>
    <n v="3"/>
    <n v="70726"/>
    <n v="0"/>
    <n v="0"/>
    <x v="0"/>
    <x v="0"/>
    <n v="1"/>
    <n v="5000000"/>
    <d v="2026-06-19T00:00:00"/>
    <m/>
    <n v="15"/>
    <s v="Ap Cap"/>
    <x v="0"/>
    <s v="Directo"/>
    <s v="Jmolina"/>
    <s v="Aporte Período 2026"/>
    <n v="7"/>
    <n v="8"/>
    <n v="0"/>
    <m/>
    <n v="750000"/>
    <n v="350000"/>
    <n v="400000"/>
    <n v="0"/>
    <s v="Socio Nuevo 2026"/>
  </r>
  <r>
    <n v="4"/>
    <n v="70727"/>
    <n v="0"/>
    <n v="0"/>
    <x v="0"/>
    <x v="0"/>
    <n v="1"/>
    <n v="5000000"/>
    <d v="2026-06-19T00:00:00"/>
    <m/>
    <n v="15"/>
    <s v="Ap Cap"/>
    <x v="0"/>
    <s v="Directo"/>
    <s v="Jmolina"/>
    <s v="Aporte Período 2026"/>
    <n v="7"/>
    <n v="8"/>
    <n v="0"/>
    <m/>
    <n v="750000"/>
    <n v="350000"/>
    <n v="400000"/>
    <n v="0"/>
    <s v="Socio Nuevo 2026"/>
  </r>
  <r>
    <n v="5"/>
    <n v="70728"/>
    <n v="0"/>
    <n v="0"/>
    <x v="0"/>
    <x v="0"/>
    <n v="1"/>
    <n v="5000000"/>
    <d v="2026-06-19T00:00:00"/>
    <m/>
    <n v="15"/>
    <s v="Ap Cap"/>
    <x v="0"/>
    <s v="Directo"/>
    <s v="Jmolina"/>
    <s v="Aporte Período 2026"/>
    <n v="7"/>
    <n v="8"/>
    <n v="0"/>
    <m/>
    <n v="750000"/>
    <n v="350000"/>
    <n v="400000"/>
    <n v="0"/>
    <s v="Socio Nuevo 2026"/>
  </r>
  <r>
    <n v="6"/>
    <n v="70665"/>
    <n v="0"/>
    <n v="0"/>
    <x v="1"/>
    <x v="1"/>
    <n v="1"/>
    <n v="53000000"/>
    <d v="2026-06-16T00:00:00"/>
    <m/>
    <n v="15"/>
    <s v="Ap Cap"/>
    <x v="0"/>
    <s v="Directo"/>
    <s v="Jmolina"/>
    <s v="Aporte Período 2026"/>
    <n v="5"/>
    <n v="10"/>
    <n v="0"/>
    <m/>
    <n v="7950000"/>
    <n v="2650000"/>
    <n v="5300000"/>
    <n v="0"/>
    <s v="Socio Nuevo 2026"/>
  </r>
  <r>
    <n v="7"/>
    <n v="70637"/>
    <n v="0"/>
    <n v="0"/>
    <x v="2"/>
    <x v="2"/>
    <n v="1"/>
    <n v="1000000"/>
    <d v="2026-06-15T00:00:00"/>
    <m/>
    <n v="8"/>
    <s v="Ap Cap"/>
    <x v="1"/>
    <s v="Directo"/>
    <s v="Pmunoz"/>
    <s v="Aporte Período 2026"/>
    <n v="8"/>
    <n v="0"/>
    <n v="0"/>
    <m/>
    <n v="80000"/>
    <n v="80000"/>
    <n v="0"/>
    <n v="0"/>
    <s v="Socio Nuevo 2026"/>
  </r>
  <r>
    <n v="8"/>
    <n v="70621"/>
    <n v="0"/>
    <n v="0"/>
    <x v="3"/>
    <x v="3"/>
    <n v="1"/>
    <n v="4550000"/>
    <d v="2026-06-12T00:00:00"/>
    <m/>
    <n v="8"/>
    <s v="Ap Cap"/>
    <x v="2"/>
    <s v="Directo"/>
    <s v="Lbravo"/>
    <s v="Aporte Período 2026"/>
    <n v="8"/>
    <n v="0"/>
    <n v="0"/>
    <m/>
    <n v="364000"/>
    <n v="364000"/>
    <n v="0"/>
    <n v="0"/>
    <s v="Socio Nuevo 2026"/>
  </r>
  <r>
    <n v="9"/>
    <n v="70593"/>
    <n v="0"/>
    <n v="0"/>
    <x v="4"/>
    <x v="4"/>
    <n v="1"/>
    <n v="10702206"/>
    <d v="2026-06-10T00:00:00"/>
    <m/>
    <n v="15"/>
    <s v="Ap Cap"/>
    <x v="2"/>
    <s v="Directo"/>
    <s v="Valarcon"/>
    <s v="Aporte Período 2026"/>
    <n v="2"/>
    <n v="13"/>
    <n v="0"/>
    <m/>
    <n v="1605331"/>
    <n v="214044"/>
    <n v="1391287"/>
    <n v="0"/>
    <s v="Socio Nuevo 2026"/>
  </r>
  <r>
    <n v="10"/>
    <n v="70596"/>
    <n v="0"/>
    <n v="0"/>
    <x v="5"/>
    <x v="5"/>
    <n v="1"/>
    <n v="456522"/>
    <d v="2026-06-10T00:00:00"/>
    <m/>
    <n v="8"/>
    <s v="Ap Cap"/>
    <x v="3"/>
    <s v="Directo"/>
    <s v="Cparada"/>
    <s v="Aporte Período 2026"/>
    <n v="8"/>
    <n v="0"/>
    <n v="0"/>
    <m/>
    <n v="36522"/>
    <n v="36522"/>
    <n v="0"/>
    <n v="0"/>
    <s v="Socio Nuevo 2026"/>
  </r>
  <r>
    <n v="11"/>
    <n v="70280"/>
    <n v="0"/>
    <n v="0"/>
    <x v="6"/>
    <x v="6"/>
    <n v="1"/>
    <n v="1827028"/>
    <d v="2026-06-09T00:00:00"/>
    <m/>
    <n v="12"/>
    <s v="Ap Cap"/>
    <x v="2"/>
    <s v="Directo"/>
    <s v="Valarcon"/>
    <s v="Aporte Período 2026"/>
    <n v="5"/>
    <n v="7"/>
    <n v="0"/>
    <m/>
    <n v="219243"/>
    <n v="91351"/>
    <n v="127892"/>
    <n v="0"/>
    <s v="Socio Nuevo 2026"/>
  </r>
  <r>
    <n v="12"/>
    <n v="70281"/>
    <n v="0"/>
    <n v="0"/>
    <x v="7"/>
    <x v="7"/>
    <n v="1"/>
    <n v="703995"/>
    <d v="2026-06-09T00:00:00"/>
    <m/>
    <n v="12"/>
    <s v="Ap Cap"/>
    <x v="2"/>
    <s v="Directo"/>
    <s v="Valarcon"/>
    <s v="Aporte Período 2026"/>
    <n v="5"/>
    <n v="7"/>
    <n v="0"/>
    <m/>
    <n v="84479"/>
    <n v="35200"/>
    <n v="49280"/>
    <n v="0"/>
    <s v="Socio Nuevo 2026"/>
  </r>
  <r>
    <n v="13"/>
    <n v="70569"/>
    <n v="0"/>
    <n v="0"/>
    <x v="8"/>
    <x v="8"/>
    <n v="1"/>
    <n v="2088791"/>
    <d v="2026-06-05T00:00:00"/>
    <m/>
    <n v="9"/>
    <s v="Ap Cap"/>
    <x v="2"/>
    <s v="Directo"/>
    <s v="Cosorio"/>
    <s v="Aporte Período 2026"/>
    <n v="9"/>
    <n v="0"/>
    <n v="0"/>
    <m/>
    <n v="187991"/>
    <n v="187991"/>
    <n v="0"/>
    <n v="0"/>
    <s v="Socio Nuevo 2026"/>
  </r>
  <r>
    <n v="14"/>
    <n v="70551"/>
    <n v="0"/>
    <n v="0"/>
    <x v="9"/>
    <x v="9"/>
    <n v="1"/>
    <n v="5648479"/>
    <d v="2026-06-03T00:00:00"/>
    <m/>
    <n v="5"/>
    <s v="Ap Cap"/>
    <x v="2"/>
    <s v="Directo"/>
    <s v="Cosorio"/>
    <s v="Aporte Período 2026"/>
    <n v="5"/>
    <n v="0"/>
    <n v="0"/>
    <m/>
    <n v="282424"/>
    <n v="282424"/>
    <n v="0"/>
    <n v="0"/>
    <s v="Socio Nuevo 2026"/>
  </r>
  <r>
    <n v="15"/>
    <n v="70497"/>
    <n v="0"/>
    <n v="0"/>
    <x v="10"/>
    <x v="10"/>
    <n v="1"/>
    <n v="4000000"/>
    <d v="2026-05-29T00:00:00"/>
    <m/>
    <n v="15"/>
    <s v="Ap Cap"/>
    <x v="0"/>
    <s v="Directo"/>
    <s v="Jmolina"/>
    <s v="Aporte Período 2026"/>
    <n v="5"/>
    <n v="10"/>
    <n v="0"/>
    <m/>
    <n v="600000"/>
    <n v="200000"/>
    <n v="400000"/>
    <n v="0"/>
    <s v="Socio Nuevo 2026"/>
  </r>
  <r>
    <n v="16"/>
    <n v="70278"/>
    <n v="0"/>
    <n v="0"/>
    <x v="11"/>
    <x v="11"/>
    <n v="1"/>
    <n v="27697647"/>
    <d v="2026-05-29T00:00:00"/>
    <m/>
    <n v="12"/>
    <s v="Ap Cap"/>
    <x v="2"/>
    <s v="Directo"/>
    <s v="Valarcon"/>
    <s v="Aporte Período 2026"/>
    <n v="5"/>
    <n v="7"/>
    <n v="0"/>
    <m/>
    <n v="3323718"/>
    <n v="1384882"/>
    <n v="1938835"/>
    <n v="0"/>
    <s v="Socio Nuevo 2026"/>
  </r>
  <r>
    <n v="17"/>
    <n v="70279"/>
    <n v="0"/>
    <n v="0"/>
    <x v="11"/>
    <x v="11"/>
    <n v="1"/>
    <n v="27761731"/>
    <d v="2026-05-20T00:00:00"/>
    <m/>
    <n v="12"/>
    <s v="Ap Cap"/>
    <x v="2"/>
    <s v="Directo"/>
    <s v="Valarcon"/>
    <s v="Aporte Período 2026"/>
    <n v="5"/>
    <n v="7"/>
    <n v="0"/>
    <m/>
    <n v="3331408"/>
    <n v="1388087"/>
    <n v="1943321"/>
    <n v="0"/>
    <s v="Socio Nuevo 2026"/>
  </r>
  <r>
    <n v="18"/>
    <n v="70394"/>
    <n v="0"/>
    <n v="0"/>
    <x v="12"/>
    <x v="12"/>
    <n v="1"/>
    <n v="1347647"/>
    <d v="2026-05-18T00:00:00"/>
    <m/>
    <n v="15"/>
    <s v="Ap Cap"/>
    <x v="2"/>
    <s v="Directo"/>
    <s v="Valarcon"/>
    <s v="Aporte Período 2026"/>
    <n v="15"/>
    <n v="0"/>
    <n v="0"/>
    <m/>
    <n v="202147"/>
    <n v="202147"/>
    <n v="0"/>
    <n v="0"/>
    <s v="Socio Nuevo 2026"/>
  </r>
  <r>
    <n v="19"/>
    <n v="70380"/>
    <n v="0"/>
    <n v="0"/>
    <x v="4"/>
    <x v="4"/>
    <n v="1"/>
    <n v="11204644"/>
    <d v="2026-05-15T00:00:00"/>
    <m/>
    <n v="15"/>
    <s v="Ap Cap"/>
    <x v="2"/>
    <s v="Directo"/>
    <s v="Valarcon"/>
    <s v="Aporte Período 2026"/>
    <n v="2"/>
    <n v="13"/>
    <n v="0"/>
    <m/>
    <n v="1680697"/>
    <n v="224093"/>
    <n v="1456604"/>
    <n v="0"/>
    <s v="Socio Nuevo 2026"/>
  </r>
  <r>
    <n v="20"/>
    <n v="70384"/>
    <n v="0"/>
    <n v="0"/>
    <x v="13"/>
    <x v="13"/>
    <n v="1"/>
    <n v="1980000"/>
    <d v="2026-05-15T00:00:00"/>
    <m/>
    <n v="10"/>
    <s v="Ap Cap"/>
    <x v="2"/>
    <s v="Directo"/>
    <s v="Cosorio"/>
    <s v="Aporte Período 2026"/>
    <n v="10"/>
    <n v="0"/>
    <n v="0"/>
    <m/>
    <n v="198000"/>
    <n v="198000"/>
    <n v="0"/>
    <n v="0"/>
    <s v="Socio Nuevo 2026"/>
  </r>
  <r>
    <n v="21"/>
    <n v="70363"/>
    <n v="0"/>
    <n v="0"/>
    <x v="14"/>
    <x v="14"/>
    <n v="1"/>
    <n v="200000"/>
    <d v="2026-05-14T00:00:00"/>
    <m/>
    <n v="10"/>
    <s v="Ap Cap"/>
    <x v="2"/>
    <s v="Directo"/>
    <s v="Bsilva"/>
    <s v="Aporte Período 2026"/>
    <n v="10"/>
    <n v="0"/>
    <n v="0"/>
    <m/>
    <n v="20000"/>
    <n v="20000"/>
    <n v="0"/>
    <n v="0"/>
    <s v="Socio Nuevo 2026"/>
  </r>
  <r>
    <n v="22"/>
    <n v="70364"/>
    <n v="0"/>
    <n v="0"/>
    <x v="15"/>
    <x v="15"/>
    <n v="1"/>
    <n v="7526896"/>
    <d v="2026-05-14T00:00:00"/>
    <m/>
    <n v="7"/>
    <s v="Ap Cap"/>
    <x v="2"/>
    <s v="Directo"/>
    <s v="Lbravo"/>
    <s v="Aporte Período 2026"/>
    <n v="7"/>
    <n v="0"/>
    <n v="0"/>
    <m/>
    <n v="526883"/>
    <n v="526883"/>
    <n v="0"/>
    <n v="0"/>
    <s v="Socio Nuevo 2026"/>
  </r>
  <r>
    <n v="23"/>
    <n v="70352"/>
    <n v="0"/>
    <n v="0"/>
    <x v="9"/>
    <x v="9"/>
    <n v="1"/>
    <n v="11888889"/>
    <d v="2026-05-13T00:00:00"/>
    <m/>
    <n v="5"/>
    <s v="Ap Cap"/>
    <x v="2"/>
    <s v="Directo"/>
    <s v="Cosorio"/>
    <s v="Aporte Período 2026"/>
    <n v="5"/>
    <n v="0"/>
    <n v="0"/>
    <m/>
    <n v="594444"/>
    <n v="594444"/>
    <n v="0"/>
    <n v="0"/>
    <s v="Socio Nuevo 2026"/>
  </r>
  <r>
    <n v="24"/>
    <n v="70332"/>
    <n v="0"/>
    <n v="0"/>
    <x v="1"/>
    <x v="1"/>
    <n v="1"/>
    <n v="53000000"/>
    <d v="2026-05-12T00:00:00"/>
    <m/>
    <n v="15"/>
    <s v="Ap Cap"/>
    <x v="0"/>
    <s v="Directo"/>
    <s v="Jmolina"/>
    <s v="Aporte Período 2026"/>
    <n v="5"/>
    <n v="10"/>
    <n v="0"/>
    <m/>
    <n v="7950000"/>
    <n v="2650000"/>
    <n v="5300000"/>
    <n v="0"/>
    <s v="Socio Nuevo 2026"/>
  </r>
  <r>
    <n v="25"/>
    <n v="70287"/>
    <n v="0"/>
    <n v="0"/>
    <x v="3"/>
    <x v="3"/>
    <n v="1"/>
    <n v="4550000"/>
    <d v="2026-05-08T00:00:00"/>
    <m/>
    <n v="8"/>
    <s v="Ap Cap"/>
    <x v="2"/>
    <s v="Directo"/>
    <s v="Lbravo"/>
    <s v="Aporte Período 2026"/>
    <n v="8"/>
    <n v="0"/>
    <n v="0"/>
    <m/>
    <n v="364000"/>
    <n v="364000"/>
    <n v="0"/>
    <n v="0"/>
    <s v="Socio Nuevo 2026"/>
  </r>
  <r>
    <n v="26"/>
    <n v="70254"/>
    <n v="0"/>
    <n v="0"/>
    <x v="16"/>
    <x v="16"/>
    <n v="1"/>
    <n v="120000000"/>
    <d v="2026-05-06T00:00:00"/>
    <m/>
    <n v="13"/>
    <s v="Ap Cap"/>
    <x v="4"/>
    <s v="Directo"/>
    <s v="Pmunoz"/>
    <s v="Aporte Período 2026"/>
    <n v="0"/>
    <n v="13"/>
    <n v="0"/>
    <m/>
    <n v="15600000"/>
    <n v="0"/>
    <n v="15600000"/>
    <n v="0"/>
    <s v="Socio Nuevo 2026"/>
  </r>
  <r>
    <n v="27"/>
    <n v="70236"/>
    <n v="0"/>
    <n v="0"/>
    <x v="17"/>
    <x v="17"/>
    <n v="1"/>
    <n v="228000"/>
    <d v="2026-05-04T00:00:00"/>
    <m/>
    <n v="8"/>
    <s v="Ap Cap"/>
    <x v="5"/>
    <s v="Directo"/>
    <s v="Gcontreras"/>
    <s v="Aporte Período 2026"/>
    <n v="8"/>
    <n v="0"/>
    <n v="0"/>
    <m/>
    <n v="18240"/>
    <n v="18240"/>
    <n v="0"/>
    <n v="0"/>
    <s v="Socio Nuevo 2026"/>
  </r>
  <r>
    <n v="28"/>
    <n v="70125"/>
    <n v="0"/>
    <n v="0"/>
    <x v="18"/>
    <x v="18"/>
    <n v="1"/>
    <n v="20227954"/>
    <d v="2026-04-27T00:00:00"/>
    <m/>
    <n v="6"/>
    <s v="Ap Cap"/>
    <x v="2"/>
    <s v="Directo"/>
    <s v="Cosorio"/>
    <s v="Aporte Período 2026"/>
    <n v="6"/>
    <n v="0"/>
    <n v="0"/>
    <m/>
    <n v="1213677"/>
    <n v="1213677"/>
    <n v="0"/>
    <n v="0"/>
    <s v="Socio Nuevo 2026"/>
  </r>
  <r>
    <n v="29"/>
    <n v="70123"/>
    <n v="0"/>
    <n v="0"/>
    <x v="19"/>
    <x v="19"/>
    <n v="1"/>
    <n v="1431108"/>
    <d v="2026-04-27T00:00:00"/>
    <m/>
    <n v="6"/>
    <s v="Ap Cap"/>
    <x v="2"/>
    <s v="Directo"/>
    <s v="Cosorio"/>
    <s v="Aporte Período 2026"/>
    <n v="6"/>
    <n v="0"/>
    <n v="0"/>
    <m/>
    <n v="85866"/>
    <n v="85866"/>
    <n v="0"/>
    <n v="0"/>
    <s v="Socio Nuevo 2026"/>
  </r>
  <r>
    <n v="30"/>
    <n v="70124"/>
    <n v="0"/>
    <n v="0"/>
    <x v="20"/>
    <x v="20"/>
    <n v="1"/>
    <n v="6757826"/>
    <d v="2026-04-27T00:00:00"/>
    <m/>
    <n v="6"/>
    <s v="Ap Cap"/>
    <x v="2"/>
    <s v="Directo"/>
    <s v="Cosorio"/>
    <s v="Aporte Período 2026"/>
    <n v="6"/>
    <n v="0"/>
    <n v="0"/>
    <m/>
    <n v="405470"/>
    <n v="405470"/>
    <n v="0"/>
    <n v="0"/>
    <s v="Socio Nuevo 2026"/>
  </r>
  <r>
    <n v="31"/>
    <n v="70128"/>
    <n v="0"/>
    <n v="0"/>
    <x v="21"/>
    <x v="21"/>
    <n v="1"/>
    <n v="2387964"/>
    <d v="2026-04-27T00:00:00"/>
    <m/>
    <n v="6"/>
    <s v="Ap Cap"/>
    <x v="2"/>
    <s v="Directo"/>
    <s v="Cosorio"/>
    <s v="Aporte Período 2026"/>
    <n v="6"/>
    <n v="0"/>
    <n v="0"/>
    <m/>
    <n v="143278"/>
    <n v="143278"/>
    <n v="0"/>
    <n v="0"/>
    <s v="Socio Nuevo 2026"/>
  </r>
  <r>
    <n v="32"/>
    <n v="70126"/>
    <n v="0"/>
    <n v="0"/>
    <x v="22"/>
    <x v="22"/>
    <n v="1"/>
    <n v="1190280"/>
    <d v="2026-04-27T00:00:00"/>
    <m/>
    <n v="6"/>
    <s v="Ap Cap"/>
    <x v="2"/>
    <s v="Directo"/>
    <s v="Cosorio"/>
    <s v="Aporte Período 2026"/>
    <n v="6"/>
    <n v="0"/>
    <n v="0"/>
    <m/>
    <n v="71417"/>
    <n v="71417"/>
    <n v="0"/>
    <n v="0"/>
    <s v="Socio Nuevo 2026"/>
  </r>
  <r>
    <n v="33"/>
    <n v="70127"/>
    <n v="0"/>
    <n v="0"/>
    <x v="23"/>
    <x v="23"/>
    <n v="1"/>
    <n v="13611900"/>
    <d v="2026-04-27T00:00:00"/>
    <m/>
    <n v="6"/>
    <s v="Ap Cap"/>
    <x v="2"/>
    <s v="Directo"/>
    <s v="Cosorio"/>
    <s v="Aporte Período 2026"/>
    <n v="6"/>
    <n v="0"/>
    <n v="0"/>
    <m/>
    <n v="816714"/>
    <n v="816714"/>
    <n v="0"/>
    <n v="0"/>
    <s v="Socio Nuevo 2026"/>
  </r>
  <r>
    <n v="34"/>
    <n v="70153"/>
    <n v="0"/>
    <n v="0"/>
    <x v="3"/>
    <x v="3"/>
    <n v="1"/>
    <n v="4550000"/>
    <d v="2026-04-24T00:00:00"/>
    <m/>
    <n v="8"/>
    <s v="Ap Cap"/>
    <x v="2"/>
    <s v="Directo"/>
    <s v="Lbravo"/>
    <s v="Aporte Período 2026"/>
    <n v="8"/>
    <n v="0"/>
    <n v="0"/>
    <m/>
    <n v="364000"/>
    <n v="364000"/>
    <n v="0"/>
    <n v="0"/>
    <s v="Socio Nuevo 2026"/>
  </r>
  <r>
    <n v="35"/>
    <n v="70139"/>
    <n v="0"/>
    <n v="0"/>
    <x v="17"/>
    <x v="17"/>
    <n v="1"/>
    <n v="272000"/>
    <d v="2026-04-22T00:00:00"/>
    <m/>
    <n v="8"/>
    <s v="Ap Cap"/>
    <x v="5"/>
    <s v="Directo"/>
    <s v="Gcontreras"/>
    <s v="Aporte Período 2026"/>
    <n v="8"/>
    <n v="0"/>
    <n v="0"/>
    <m/>
    <n v="21760"/>
    <n v="21760"/>
    <n v="0"/>
    <n v="0"/>
    <s v="Socio Nuevo 2026"/>
  </r>
  <r>
    <n v="36"/>
    <n v="70067"/>
    <n v="0"/>
    <n v="0"/>
    <x v="24"/>
    <x v="24"/>
    <n v="1"/>
    <n v="5700000"/>
    <d v="2026-04-16T00:00:00"/>
    <m/>
    <n v="4"/>
    <s v="Ap Cap"/>
    <x v="2"/>
    <s v="Directo"/>
    <s v="Valarcon"/>
    <s v="Aporte Período 2026"/>
    <n v="4"/>
    <n v="0"/>
    <n v="0"/>
    <m/>
    <n v="228000"/>
    <n v="228000"/>
    <n v="0"/>
    <n v="0"/>
    <s v="Socio Nuevo 2026"/>
  </r>
  <r>
    <n v="37"/>
    <n v="70041"/>
    <n v="0"/>
    <n v="0"/>
    <x v="12"/>
    <x v="12"/>
    <n v="1"/>
    <n v="1250000"/>
    <d v="2026-04-14T00:00:00"/>
    <m/>
    <n v="15"/>
    <s v="Ap Cap"/>
    <x v="2"/>
    <s v="Directo"/>
    <s v="Valarcon"/>
    <s v="Aporte Período 2026"/>
    <n v="15"/>
    <n v="0"/>
    <n v="0"/>
    <m/>
    <n v="187500"/>
    <n v="187500"/>
    <n v="0"/>
    <n v="0"/>
    <s v="Socio Nuevo 2026"/>
  </r>
  <r>
    <n v="38"/>
    <n v="70004"/>
    <n v="0"/>
    <n v="0"/>
    <x v="0"/>
    <x v="0"/>
    <n v="1"/>
    <n v="7000000"/>
    <d v="2026-04-09T00:00:00"/>
    <m/>
    <n v="15"/>
    <s v="Ap Cap"/>
    <x v="0"/>
    <s v="Directo"/>
    <s v="Jmolina"/>
    <s v="Aporte Período 2026"/>
    <n v="7"/>
    <n v="8"/>
    <n v="0"/>
    <m/>
    <n v="1050000"/>
    <n v="490000"/>
    <n v="560000"/>
    <n v="0"/>
    <s v="Socio Nuevo 2026"/>
  </r>
  <r>
    <n v="39"/>
    <n v="70005"/>
    <n v="0"/>
    <n v="0"/>
    <x v="0"/>
    <x v="0"/>
    <n v="1"/>
    <n v="7000000"/>
    <d v="2026-04-09T00:00:00"/>
    <m/>
    <n v="15"/>
    <s v="Ap Cap"/>
    <x v="0"/>
    <s v="Directo"/>
    <s v="Jmolina"/>
    <s v="Aporte Período 2026"/>
    <n v="7"/>
    <n v="8"/>
    <n v="0"/>
    <m/>
    <n v="1050000"/>
    <n v="490000"/>
    <n v="560000"/>
    <n v="0"/>
    <s v="Socio Nuevo 2026"/>
  </r>
  <r>
    <n v="40"/>
    <n v="70006"/>
    <n v="0"/>
    <n v="0"/>
    <x v="0"/>
    <x v="0"/>
    <n v="1"/>
    <n v="6500000"/>
    <d v="2026-04-09T00:00:00"/>
    <m/>
    <n v="15"/>
    <s v="Ap Cap"/>
    <x v="0"/>
    <s v="Directo"/>
    <s v="Jmolina"/>
    <s v="Aporte Período 2026"/>
    <n v="7"/>
    <n v="8"/>
    <n v="0"/>
    <m/>
    <n v="975000"/>
    <n v="455000"/>
    <n v="520000"/>
    <n v="0"/>
    <s v="Socio Nuevo 2026"/>
  </r>
  <r>
    <n v="41"/>
    <n v="69985"/>
    <n v="0"/>
    <n v="0"/>
    <x v="1"/>
    <x v="1"/>
    <n v="1"/>
    <n v="53000000"/>
    <d v="2026-04-08T00:00:00"/>
    <m/>
    <n v="15"/>
    <s v="Ap Cap"/>
    <x v="0"/>
    <s v="Directo"/>
    <s v="Jmolina"/>
    <s v="Aporte Período 2026"/>
    <n v="5"/>
    <n v="10"/>
    <n v="0"/>
    <m/>
    <n v="7950000"/>
    <n v="2650000"/>
    <n v="5300000"/>
    <n v="0"/>
    <s v="Socio Nuevo 2026"/>
  </r>
  <r>
    <n v="42"/>
    <n v="69991"/>
    <n v="0"/>
    <n v="0"/>
    <x v="10"/>
    <x v="10"/>
    <n v="1"/>
    <n v="4000000"/>
    <d v="2026-04-08T00:00:00"/>
    <m/>
    <n v="15"/>
    <s v="Ap Cap"/>
    <x v="0"/>
    <s v="Directo"/>
    <s v="Jmolina"/>
    <s v="Aporte Período 2026"/>
    <n v="5"/>
    <n v="10"/>
    <n v="0"/>
    <m/>
    <n v="600000"/>
    <n v="200000"/>
    <n v="400000"/>
    <n v="0"/>
    <s v="Socio Nuevo 2026"/>
  </r>
  <r>
    <n v="43"/>
    <n v="69941"/>
    <n v="0"/>
    <n v="0"/>
    <x v="14"/>
    <x v="14"/>
    <n v="1"/>
    <n v="150000"/>
    <d v="2026-03-31T00:00:00"/>
    <m/>
    <n v="10"/>
    <s v="Ap Cap"/>
    <x v="2"/>
    <s v="Directo"/>
    <s v="Bsilva"/>
    <s v="Aporte Período 2026"/>
    <n v="10"/>
    <n v="0"/>
    <n v="0"/>
    <m/>
    <n v="15000"/>
    <n v="15000"/>
    <n v="0"/>
    <n v="0"/>
    <s v="Socio Nuevo 2026"/>
  </r>
  <r>
    <n v="44"/>
    <n v="69748"/>
    <n v="0"/>
    <n v="0"/>
    <x v="6"/>
    <x v="6"/>
    <n v="1"/>
    <n v="1918035"/>
    <d v="2026-03-25T00:00:00"/>
    <m/>
    <n v="12"/>
    <s v="Ap Cap"/>
    <x v="2"/>
    <s v="Directo"/>
    <s v="Valarcon"/>
    <s v="Aporte Período 2026"/>
    <n v="5"/>
    <n v="7"/>
    <n v="0"/>
    <m/>
    <n v="230164"/>
    <n v="95902"/>
    <n v="134262"/>
    <n v="0"/>
    <s v="Socio Nuevo 2026"/>
  </r>
  <r>
    <n v="45"/>
    <n v="69749"/>
    <n v="0"/>
    <n v="0"/>
    <x v="7"/>
    <x v="7"/>
    <n v="1"/>
    <n v="715823"/>
    <d v="2026-03-24T00:00:00"/>
    <m/>
    <n v="12"/>
    <s v="Ap Cap"/>
    <x v="2"/>
    <s v="Directo"/>
    <s v="Valarcon"/>
    <s v="Aporte Período 2026"/>
    <n v="5"/>
    <n v="7"/>
    <n v="0"/>
    <m/>
    <n v="85899"/>
    <n v="35791"/>
    <n v="50108"/>
    <n v="0"/>
    <s v="Socio Nuevo 2026"/>
  </r>
  <r>
    <n v="46"/>
    <n v="69837"/>
    <n v="0"/>
    <n v="0"/>
    <x v="3"/>
    <x v="3"/>
    <n v="1"/>
    <n v="4550000"/>
    <d v="2026-03-20T00:00:00"/>
    <m/>
    <n v="8"/>
    <s v="Ap Cap"/>
    <x v="2"/>
    <s v="Directo"/>
    <s v="Lbravo"/>
    <s v="Aporte Período 2026"/>
    <n v="8"/>
    <n v="0"/>
    <n v="0"/>
    <m/>
    <n v="364000"/>
    <n v="364000"/>
    <n v="0"/>
    <n v="0"/>
    <s v="Socio Nuevo 2026"/>
  </r>
  <r>
    <n v="47"/>
    <n v="69746"/>
    <n v="0"/>
    <n v="0"/>
    <x v="11"/>
    <x v="11"/>
    <n v="1"/>
    <n v="28749541"/>
    <d v="2026-03-19T00:00:00"/>
    <m/>
    <n v="12"/>
    <s v="Ap Cap"/>
    <x v="2"/>
    <s v="Directo"/>
    <s v="Valarcon"/>
    <s v="Aporte Período 2026"/>
    <n v="5"/>
    <n v="7"/>
    <n v="0"/>
    <m/>
    <n v="3449945"/>
    <n v="1437477"/>
    <n v="2012468"/>
    <n v="0"/>
    <s v="Socio Nuevo 2026"/>
  </r>
  <r>
    <n v="48"/>
    <n v="69747"/>
    <n v="0"/>
    <n v="0"/>
    <x v="11"/>
    <x v="11"/>
    <n v="1"/>
    <n v="29650410"/>
    <d v="2026-03-19T00:00:00"/>
    <m/>
    <n v="12"/>
    <s v="Ap Cap"/>
    <x v="2"/>
    <s v="Directo"/>
    <s v="Valarcon"/>
    <s v="Aporte Período 2026"/>
    <n v="5"/>
    <n v="7"/>
    <n v="0"/>
    <m/>
    <n v="3558049"/>
    <n v="1482520"/>
    <n v="2075529"/>
    <n v="0"/>
    <s v="Socio Nuevo 2026"/>
  </r>
  <r>
    <n v="49"/>
    <n v="69818"/>
    <n v="0"/>
    <n v="0"/>
    <x v="25"/>
    <x v="25"/>
    <n v="1"/>
    <n v="2000000"/>
    <d v="2026-03-13T00:00:00"/>
    <m/>
    <n v="8"/>
    <s v="Ap Cap"/>
    <x v="2"/>
    <s v="Directo"/>
    <s v="Lbravo"/>
    <s v="Aporte Período 2026"/>
    <n v="8"/>
    <n v="0"/>
    <n v="0"/>
    <m/>
    <n v="160000"/>
    <n v="160000"/>
    <n v="0"/>
    <n v="0"/>
    <s v="Socio Nuevo 2026"/>
  </r>
  <r>
    <n v="50"/>
    <n v="69787"/>
    <n v="0"/>
    <n v="0"/>
    <x v="26"/>
    <x v="26"/>
    <n v="1"/>
    <n v="5000000"/>
    <d v="2026-03-13T00:00:00"/>
    <m/>
    <n v="8"/>
    <s v="Ap Cap"/>
    <x v="2"/>
    <s v="Directo"/>
    <s v="Lbravo"/>
    <s v="Aporte Período 2026"/>
    <n v="8"/>
    <n v="0"/>
    <n v="0"/>
    <m/>
    <n v="400000"/>
    <n v="400000"/>
    <n v="0"/>
    <n v="0"/>
    <s v="Socio Nuevo 2026"/>
  </r>
  <r>
    <n v="51"/>
    <n v="69764"/>
    <n v="0"/>
    <n v="0"/>
    <x v="4"/>
    <x v="4"/>
    <n v="1"/>
    <n v="10418124"/>
    <d v="2026-03-13T00:00:00"/>
    <m/>
    <n v="15"/>
    <s v="Ap Cap"/>
    <x v="2"/>
    <s v="Directo"/>
    <s v="Valarcon"/>
    <s v="Aporte Período 2026"/>
    <n v="2"/>
    <n v="13"/>
    <n v="0"/>
    <m/>
    <n v="1562719"/>
    <n v="208362"/>
    <n v="1354356"/>
    <n v="0"/>
    <s v="Socio Nuevo 2026"/>
  </r>
  <r>
    <n v="52"/>
    <n v="69700"/>
    <n v="0"/>
    <n v="0"/>
    <x v="1"/>
    <x v="1"/>
    <n v="1"/>
    <n v="53000000"/>
    <d v="2026-03-04T00:00:00"/>
    <m/>
    <n v="15"/>
    <s v="Ap Cap"/>
    <x v="0"/>
    <s v="Directo"/>
    <s v="Jmolina"/>
    <s v="Aporte Período 2026"/>
    <n v="5"/>
    <n v="10"/>
    <n v="0"/>
    <m/>
    <n v="7950000"/>
    <n v="2650000"/>
    <n v="5300000"/>
    <n v="0"/>
    <s v="Socio Nuevo 2026"/>
  </r>
  <r>
    <n v="53"/>
    <n v="69684"/>
    <n v="0"/>
    <n v="0"/>
    <x v="3"/>
    <x v="3"/>
    <n v="1"/>
    <n v="4550000"/>
    <d v="2026-03-02T00:00:00"/>
    <m/>
    <n v="8"/>
    <s v="Ap Cap"/>
    <x v="2"/>
    <s v="Directo"/>
    <s v="Lbravo"/>
    <s v="Aporte Período 2026"/>
    <n v="8"/>
    <n v="0"/>
    <n v="0"/>
    <m/>
    <n v="364000"/>
    <n v="364000"/>
    <n v="0"/>
    <n v="0"/>
    <s v="Socio Nuevo 2026"/>
  </r>
  <r>
    <n v="54"/>
    <n v="69451"/>
    <n v="0"/>
    <n v="0"/>
    <x v="4"/>
    <x v="4"/>
    <n v="1"/>
    <n v="7000000"/>
    <d v="2026-02-26T00:00:00"/>
    <m/>
    <n v="15"/>
    <s v="Ap Cap"/>
    <x v="2"/>
    <s v="Directo"/>
    <s v="Valarcon"/>
    <s v="Aporte Período 2026"/>
    <n v="2"/>
    <n v="13"/>
    <n v="0"/>
    <m/>
    <n v="1050000"/>
    <n v="140000"/>
    <n v="910000"/>
    <n v="0"/>
    <s v="Socio Nuevo 2026"/>
  </r>
  <r>
    <n v="55"/>
    <n v="69452"/>
    <n v="0"/>
    <n v="0"/>
    <x v="4"/>
    <x v="4"/>
    <n v="1"/>
    <n v="4269881"/>
    <d v="2026-02-26T00:00:00"/>
    <m/>
    <n v="15"/>
    <s v="Ap Cap"/>
    <x v="2"/>
    <s v="Directo"/>
    <s v="Valarcon"/>
    <s v="Aporte Período 2026"/>
    <n v="2"/>
    <n v="13"/>
    <n v="0"/>
    <m/>
    <n v="640482"/>
    <n v="85398"/>
    <n v="555085"/>
    <n v="0"/>
    <s v="Socio Nuevo 2026"/>
  </r>
  <r>
    <n v="56"/>
    <n v="69272"/>
    <n v="0"/>
    <n v="0"/>
    <x v="27"/>
    <x v="27"/>
    <n v="1"/>
    <n v="1000000"/>
    <d v="2026-02-13T00:00:00"/>
    <m/>
    <n v="12"/>
    <s v="Ap Cap"/>
    <x v="2"/>
    <s v="Directo"/>
    <s v="Bsilva"/>
    <s v="Aporte Período 2026"/>
    <n v="12"/>
    <n v="0"/>
    <n v="0"/>
    <m/>
    <n v="120000"/>
    <n v="120000"/>
    <n v="0"/>
    <n v="0"/>
    <s v="Socio Nuevo 2026"/>
  </r>
  <r>
    <n v="57"/>
    <n v="69322"/>
    <n v="0"/>
    <n v="0"/>
    <x v="14"/>
    <x v="14"/>
    <n v="1"/>
    <n v="400000"/>
    <d v="2026-01-30T00:00:00"/>
    <m/>
    <n v="10"/>
    <s v="Ap Cap"/>
    <x v="2"/>
    <s v="Directo"/>
    <s v="Bsilva"/>
    <s v="Aporte Período 2026"/>
    <n v="10"/>
    <n v="0"/>
    <n v="0"/>
    <m/>
    <n v="40000"/>
    <n v="40000"/>
    <n v="0"/>
    <n v="0"/>
    <s v="Socio Nuevo 2026"/>
  </r>
  <r>
    <n v="58"/>
    <n v="69213"/>
    <n v="0"/>
    <n v="0"/>
    <x v="16"/>
    <x v="16"/>
    <n v="1"/>
    <n v="120000000"/>
    <d v="2026-01-12T00:00:00"/>
    <m/>
    <n v="13"/>
    <s v="Ap Cap"/>
    <x v="4"/>
    <s v="Directo"/>
    <s v="Pmunoz"/>
    <s v="Aporte Período 2026"/>
    <n v="0"/>
    <n v="13"/>
    <n v="0"/>
    <m/>
    <n v="15600000"/>
    <n v="0"/>
    <n v="15600000"/>
    <n v="0"/>
    <s v="Socio Nuevo 20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n v="1"/>
    <s v="AFP CAPITAL"/>
    <s v="AFILIADA"/>
    <s v="96995150-9"/>
    <s v="Sura Data Chile S.a."/>
    <m/>
    <x v="0"/>
    <s v="No"/>
    <s v="RM "/>
    <n v="300000000"/>
    <n v="0.05"/>
    <n v="15000000"/>
    <s v="NO INDICA"/>
    <s v="Febrero"/>
    <s v="Valentina Alarcón "/>
    <s v="Adherida al OTIC "/>
    <n v="3745063"/>
    <n v="-296254937"/>
    <s v="No Aplica"/>
    <s v="Activo"/>
    <s v="Liliana Morales"/>
    <s v="Liliana.Morales@afpcapital.cl"/>
    <m/>
    <m/>
    <m/>
  </r>
  <r>
    <n v="2"/>
    <s v="AFP CAPITAL"/>
    <s v="AFILIADA"/>
    <s v="87908100-9"/>
    <s v="Sura Asset Management Chile S.a"/>
    <m/>
    <x v="0"/>
    <s v="No"/>
    <s v="RM "/>
    <n v="0"/>
    <n v="0"/>
    <n v="0"/>
    <s v="NO INDICA"/>
    <s v="Febrero"/>
    <s v="Valentina Alarcón "/>
    <s v="Adherida al OTIC "/>
    <n v="1419818"/>
    <n v="1419818"/>
    <s v="No Aplica"/>
    <s v="-"/>
    <s v="-"/>
    <s v="-"/>
    <m/>
    <m/>
    <m/>
  </r>
  <r>
    <n v="3"/>
    <s v="AFP CAPITAL"/>
    <s v="AFILIADA"/>
    <s v="98000000-1"/>
    <s v="Administradora De Fondos De Pensiones Capital S.a"/>
    <m/>
    <x v="0"/>
    <s v="No"/>
    <s v="RM "/>
    <n v="0"/>
    <n v="0"/>
    <n v="0"/>
    <s v="NO INDICA"/>
    <s v="Febrero"/>
    <s v="Valentina Alarcón "/>
    <s v="Adherida al OTIC "/>
    <n v="113859329"/>
    <n v="113859329"/>
    <s v="No Aplica"/>
    <s v="-"/>
    <s v="-"/>
    <s v="-"/>
    <m/>
    <m/>
    <m/>
  </r>
  <r>
    <n v="4"/>
    <s v="APSORAD"/>
    <s v="AFILIADA"/>
    <s v="76541298-6"/>
    <s v="SOCIEDAD DE TELEMEDICINA APSORAD SPA"/>
    <m/>
    <x v="1"/>
    <s v="No"/>
    <s v="RM "/>
    <n v="1600000"/>
    <n v="0.1"/>
    <n v="160000"/>
    <s v="SIN OTIC"/>
    <s v="Enero"/>
    <s v="Beatriz Silva "/>
    <s v="Adherida al OTIC "/>
    <n v="750000"/>
    <n v="-850000"/>
    <s v="No Aplica"/>
    <s v="Activo"/>
    <s v="Contanza Claveria "/>
    <s v="cclaveria@apsorad.cl"/>
    <m/>
    <m/>
    <d v="2026-01-20T00:00:00"/>
  </r>
  <r>
    <n v="5"/>
    <s v="AUDIGESTION"/>
    <s v="AFILIADA"/>
    <s v="76344044-3"/>
    <s v="Audigestion Spa"/>
    <m/>
    <x v="2"/>
    <s v="No"/>
    <s v="Norte 2 "/>
    <n v="0"/>
    <n v="0"/>
    <n v="0"/>
    <s v="NO INDICA"/>
    <s v="No Aplica"/>
    <s v="Elizabeth Cardenas "/>
    <s v="Adherida al OTIC "/>
    <n v="500000"/>
    <n v="500000"/>
    <s v="No Aplica"/>
    <s v="-"/>
    <s v="-"/>
    <s v="-"/>
    <m/>
    <m/>
    <m/>
  </r>
  <r>
    <n v="6"/>
    <s v="BREDENMASTER "/>
    <s v="AFILIADA"/>
    <s v="96606310-6"/>
    <s v="Bredenmaster Spa"/>
    <m/>
    <x v="3"/>
    <s v="No"/>
    <s v="RM "/>
    <n v="50000000"/>
    <n v="0.04"/>
    <n v="2000000"/>
    <s v="SIN OTIC"/>
    <s v="Abril"/>
    <s v="Valentina Alarcón "/>
    <s v="Adherida al OTIC "/>
    <n v="5700000"/>
    <n v="-44300000"/>
    <s v="No Aplica"/>
    <s v="Activo"/>
    <s v="Claudia Olea"/>
    <s v="claudia.olea@bredenmaster.com"/>
    <m/>
    <s v="Recuperada Kari / Negativo"/>
    <d v="2026-04-15T00:00:00"/>
  </r>
  <r>
    <n v="7"/>
    <s v="CASA ROYAL"/>
    <s v="AFILIADA"/>
    <s v="83030600-5"/>
    <s v="ELECTRONICA CASA ROYAL LIMITADA"/>
    <m/>
    <x v="4"/>
    <s v="No"/>
    <s v="RM "/>
    <n v="30000000"/>
    <n v="7.0000000000000007E-2"/>
    <n v="2100000"/>
    <s v="NO INDICA"/>
    <s v="No Aplica"/>
    <s v="Luisa Bravo "/>
    <s v="Adherida al OTIC "/>
    <n v="7526896"/>
    <n v="-22473104"/>
    <s v="No Aplica"/>
    <s v="Activo"/>
    <s v="Cristobal Tobar "/>
    <s v="ctobar@casaroyal.cl"/>
    <m/>
    <m/>
    <m/>
  </r>
  <r>
    <n v="8"/>
    <s v="DVP"/>
    <s v="AFILIADA"/>
    <s v="89689900-7"/>
    <s v="DE VICENTE PLASTICOS S.A."/>
    <m/>
    <x v="1"/>
    <s v="No"/>
    <s v="RM "/>
    <n v="80000000"/>
    <n v="0.08"/>
    <n v="6400000"/>
    <s v="OTIC SOFOFA"/>
    <s v="Febrero"/>
    <s v="Carolina Osorio"/>
    <s v="Adherida al OTIC "/>
    <n v="17537368"/>
    <n v="-62462632"/>
    <s v="No Aplica"/>
    <s v="Activo"/>
    <s v="Ivette Benitez"/>
    <s v="ivette.benitez@dvp.com"/>
    <m/>
    <s v="Referido Patricio Pinto "/>
    <m/>
  </r>
  <r>
    <n v="9"/>
    <s v="ECOPALLET"/>
    <s v="AFILIADA"/>
    <s v="76065151-6"/>
    <s v="Eco Servicios S.a"/>
    <m/>
    <x v="5"/>
    <s v="No"/>
    <s v="RM "/>
    <n v="16000000"/>
    <n v="0.15"/>
    <n v="2400000"/>
    <s v="SIN OTIC"/>
    <s v="Abril"/>
    <s v="Valentina Alarcón "/>
    <s v="Adherida al OTIC "/>
    <n v="2597647"/>
    <n v="-13402353"/>
    <s v="No Aplica"/>
    <s v="-"/>
    <s v="-"/>
    <s v="-"/>
    <s v="-"/>
    <s v="-"/>
    <m/>
  </r>
  <r>
    <n v="10"/>
    <s v="FOURPOINTS"/>
    <s v="AFILIADA"/>
    <s v="96768160-1"/>
    <s v="HOTELERA SANTA MAGDALENA S.A"/>
    <m/>
    <x v="1"/>
    <s v="No"/>
    <s v="RM "/>
    <n v="10000000"/>
    <n v="0.11"/>
    <n v="1100000"/>
    <s v="SIN OTIC"/>
    <s v="Enero"/>
    <s v="Beatriz Silva "/>
    <s v="Adherida al OTIC "/>
    <n v="1000000"/>
    <n v="-9000000"/>
    <s v="No Aplica"/>
    <s v="Activo"/>
    <s v="Fernanda Nunez y Claudio Vargas"/>
    <s v="Fernanda.Nunez@fourpoints.com, Claudio.Vargas@fourpoints.com"/>
    <m/>
    <s v="Segunda propuesta enviada, primera fue en el 2025 sin concretar "/>
    <d v="2026-01-14T00:00:00"/>
  </r>
  <r>
    <n v="11"/>
    <s v="FR Group "/>
    <s v="AFILIADA"/>
    <s v="79619240-2"/>
    <s v="FR GROUP CORREDORES DE SEGUROS SPA"/>
    <m/>
    <x v="1"/>
    <s v="No"/>
    <s v="RM "/>
    <n v="30000000"/>
    <n v="0.1"/>
    <n v="3000000"/>
    <s v="NO INDICA"/>
    <s v="Febrero"/>
    <s v="Luisa Bravo "/>
    <s v="Adherida al OTIC "/>
    <n v="5000000"/>
    <n v="-25000000"/>
    <s v="No Aplica"/>
    <s v="Activo"/>
    <s v="Dianey Solsona A."/>
    <s v="dsolsona@frgroup.cl"/>
    <m/>
    <m/>
    <m/>
  </r>
  <r>
    <n v="12"/>
    <s v="FR Group "/>
    <s v="AFILIADA"/>
    <s v="77851804-k"/>
    <s v="Fr Group Seguros Generales "/>
    <m/>
    <x v="1"/>
    <s v="No"/>
    <s v="RM "/>
    <n v="0"/>
    <n v="0"/>
    <n v="0"/>
    <s v="NO INDICA"/>
    <s v="Febrero"/>
    <s v="Luisa Bravo "/>
    <s v="Adherida al OTIC "/>
    <n v="2000000"/>
    <n v="2000000"/>
    <s v="No Aplica"/>
    <s v="-"/>
    <s v="-"/>
    <s v="-"/>
    <m/>
    <m/>
    <m/>
  </r>
  <r>
    <n v="13"/>
    <s v="GEOTEC"/>
    <s v="AFILIADA"/>
    <s v="93545000-4"/>
    <s v="Sociedad de Servicios Técnicos Geológicos Geotec Boyles Bros S.A"/>
    <m/>
    <x v="6"/>
    <s v="No"/>
    <s v="Norte 1"/>
    <n v="500000000"/>
    <n v="0.05"/>
    <n v="25000000"/>
    <s v="NO INDICA"/>
    <s v="Enero"/>
    <s v="Elizabeth Cardenas "/>
    <s v="Adherida al OTIC "/>
    <n v="212000000"/>
    <n v="-288000000"/>
    <s v="No Aplica"/>
    <s v="Activo"/>
    <s v="Christopher Jara"/>
    <s v="cjara@geotec.cl"/>
    <m/>
    <s v="Enviada x Don Michel "/>
    <d v="2026-01-09T00:00:00"/>
  </r>
  <r>
    <n v="14"/>
    <s v="GEOTEC"/>
    <s v="AFILIADA"/>
    <s v="76641876-7"/>
    <s v="Uhco S.a."/>
    <m/>
    <x v="6"/>
    <s v="No"/>
    <s v="Norte 1"/>
    <n v="0"/>
    <n v="0"/>
    <n v="0"/>
    <s v="NO INDICA"/>
    <s v="Enero"/>
    <s v="Elizabeth Cardenas "/>
    <s v="Adherida al OTIC "/>
    <n v="8000000"/>
    <n v="8000000"/>
    <s v="No Aplica"/>
    <s v="-"/>
    <s v="-"/>
    <s v="-"/>
    <m/>
    <m/>
    <m/>
  </r>
  <r>
    <n v="15"/>
    <s v="KEYPRO"/>
    <s v="AFILIADA"/>
    <s v="76050082-8"/>
    <s v="Keypro Ingeniería SA"/>
    <m/>
    <x v="3"/>
    <s v="No"/>
    <s v="RM "/>
    <n v="5000000"/>
    <n v="0.1"/>
    <n v="500000"/>
    <s v="SIN OTIC"/>
    <s v="Enero"/>
    <s v="Carolina Osorio"/>
    <s v="Adherida al OTIC "/>
    <n v="1980000"/>
    <n v="-3020000"/>
    <s v="No Aplica"/>
    <s v="Activo"/>
    <s v="Lisette Molina"/>
    <s v="lisette.molina@keyproingenieria.com"/>
    <m/>
    <m/>
    <m/>
  </r>
  <r>
    <n v="16"/>
    <s v="NUEVO PUDAHUEL "/>
    <s v="AFILIADA"/>
    <s v="76466068-4"/>
    <s v="SOCIEDAD CONCESIONARIA NUEVO PUDAHUEL S.A."/>
    <m/>
    <x v="1"/>
    <s v="No"/>
    <s v="RM "/>
    <n v="50000000"/>
    <n v="0.08"/>
    <n v="4000000"/>
    <s v="NO INDICA"/>
    <s v="Febrero"/>
    <s v="Luisa Bravo "/>
    <s v="Adherida al OTIC "/>
    <n v="22750000"/>
    <n v="-27250000"/>
    <s v="No Aplica"/>
    <s v="-"/>
    <s v="-"/>
    <s v="-"/>
    <m/>
    <s v="Aportes de 4.000.000 mensuales hasta llegar a los 50M"/>
    <d v="2026-02-11T00:00:00"/>
  </r>
  <r>
    <n v="17"/>
    <s v="SKECHERS"/>
    <s v="AFILIADA"/>
    <s v="76047265-4"/>
    <s v="COMERCIALIZADORA SKECHERS CHILE LIMITADA"/>
    <m/>
    <x v="0"/>
    <s v="No"/>
    <s v="RM "/>
    <n v="120000000"/>
    <n v="0.02"/>
    <n v="2400000"/>
    <s v="OTIC CCHC"/>
    <s v="Enero"/>
    <s v="Valentina Alarcón "/>
    <s v="Adherida al OTIC "/>
    <n v="43594855"/>
    <n v="-76405145"/>
    <s v="No Aplica"/>
    <s v="Activo"/>
    <s v="Barbara domian y Jimena Sepulveda"/>
    <s v="Jimena.sepulveda@skechers.com, barbara.domian@skechers.com"/>
    <m/>
    <m/>
    <d v="2026-01-16T00:00:00"/>
  </r>
  <r>
    <n v="18"/>
    <s v="TREK RENTAL"/>
    <s v="AFILIADA"/>
    <s v="77545580-2"/>
    <s v="Inversiones Trektrading spa"/>
    <m/>
    <x v="4"/>
    <s v="No"/>
    <s v="Norte 1"/>
    <n v="82000000"/>
    <n v="0.08"/>
    <n v="6560000"/>
    <s v="OTIC CAMACOES"/>
    <s v="Febrero"/>
    <s v="Elizabeth Cardenas "/>
    <s v="Adherida al OTIC "/>
    <n v="41000000"/>
    <n v="-41000000"/>
    <s v="No Aplica"/>
    <s v="Activo"/>
    <s v="Paulina Montes , Maite Jaque"/>
    <s v="pmontes@trekrental.com, mjaque@trekrental.com"/>
    <m/>
    <s v="Referido Patricio Pinto "/>
    <d v="2026-02-19T00:00:00"/>
  </r>
  <r>
    <n v="19"/>
    <s v="UNIVERSIDAD TALCA"/>
    <s v="AFILIADA"/>
    <s v="70885500-6"/>
    <s v="U. Talca"/>
    <m/>
    <x v="7"/>
    <s v="No"/>
    <s v="Sur 1 "/>
    <n v="240000000"/>
    <n v="0"/>
    <n v="0"/>
    <s v="NO INDICA"/>
    <s v="Licitación"/>
    <s v="Paola Muñoz"/>
    <s v="Adherida al OTIC "/>
    <n v="240000000"/>
    <n v="0"/>
    <s v="Licitación"/>
    <s v="Activo"/>
    <s v="Licitación "/>
    <s v="Licitación "/>
    <m/>
    <s v="Licitación"/>
    <s v="No Aplica"/>
  </r>
  <r>
    <n v="20"/>
    <s v="YOUTOPIA CLUB "/>
    <s v="AFILIADA"/>
    <s v="76176508-6"/>
    <s v="Youtopia Holding S.a"/>
    <m/>
    <x v="2"/>
    <s v="No"/>
    <s v="RM "/>
    <n v="40000000"/>
    <n v="0.06"/>
    <n v="2400000"/>
    <s v="SIN OTIC"/>
    <s v="Enero"/>
    <s v="Carolina Osorio"/>
    <s v="Adherida al OTIC "/>
    <n v="1431108"/>
    <n v="-38568892"/>
    <s v="No Aplica"/>
    <s v="Activo"/>
    <s v="María José Torres "/>
    <s v="mariajose.torres@youtopia.club"/>
    <m/>
    <m/>
    <d v="2026-01-20T00:00:00"/>
  </r>
  <r>
    <n v="21"/>
    <s v="YOUTOPIA CLUB "/>
    <s v="AFILIADA"/>
    <s v="76187179-k"/>
    <s v="Youtopia Trapenses Spa"/>
    <m/>
    <x v="2"/>
    <s v="No"/>
    <s v="RM "/>
    <n v="0"/>
    <n v="0"/>
    <n v="0"/>
    <s v="SIN OTIC"/>
    <s v="Enero"/>
    <s v="Carolina Osorio"/>
    <s v="Adherida al OTIC "/>
    <n v="6757826"/>
    <n v="6757826"/>
    <s v="No Aplica"/>
    <s v="-"/>
    <s v="-"/>
    <s v="-"/>
    <m/>
    <m/>
    <m/>
  </r>
  <r>
    <n v="22"/>
    <s v="YOUTOPIA CLUB "/>
    <s v="AFILIADA"/>
    <s v="76432503-6"/>
    <s v="Youtopia Salud Spa"/>
    <m/>
    <x v="2"/>
    <s v="No"/>
    <s v="RM "/>
    <n v="0"/>
    <n v="0"/>
    <n v="0"/>
    <s v="SIN OTIC"/>
    <s v="Enero"/>
    <s v="Carolina Osorio"/>
    <s v="Adherida al OTIC "/>
    <n v="20227954"/>
    <n v="20227954"/>
    <s v="No Aplica"/>
    <s v="-"/>
    <s v="-"/>
    <s v="-"/>
    <m/>
    <m/>
    <m/>
  </r>
  <r>
    <n v="23"/>
    <s v="YOUTOPIA CLUB "/>
    <s v="AFILIADA"/>
    <s v="76775218-0"/>
    <s v="Youtopia Isidora Spa"/>
    <m/>
    <x v="2"/>
    <s v="No"/>
    <s v="RM "/>
    <n v="0"/>
    <n v="0"/>
    <n v="0"/>
    <s v="SIN OTIC"/>
    <s v="Enero"/>
    <s v="Carolina Osorio"/>
    <s v="Adherida al OTIC "/>
    <n v="1190280"/>
    <n v="1190280"/>
    <s v="No Aplica"/>
    <s v="-"/>
    <s v="-"/>
    <s v="-"/>
    <m/>
    <m/>
    <m/>
  </r>
  <r>
    <n v="24"/>
    <s v="YOUTOPIA CLUB "/>
    <s v="AFILIADA"/>
    <s v="77223245-4"/>
    <s v="Youtopia Vitacura Spa"/>
    <m/>
    <x v="2"/>
    <s v="No"/>
    <s v="RM "/>
    <n v="0"/>
    <n v="0"/>
    <n v="0"/>
    <s v="SIN OTIC"/>
    <s v="Enero"/>
    <s v="Carolina Osorio"/>
    <s v="Adherida al OTIC "/>
    <n v="13611900"/>
    <n v="13611900"/>
    <s v="No Aplica"/>
    <s v="-"/>
    <s v="-"/>
    <s v="-"/>
    <m/>
    <m/>
    <m/>
  </r>
  <r>
    <n v="25"/>
    <s v="YOUTOPIA CLUB "/>
    <s v="AFILIADA"/>
    <s v="77836523-5"/>
    <s v="Younique Latam Spa"/>
    <m/>
    <x v="2"/>
    <s v="No"/>
    <s v="RM "/>
    <n v="0"/>
    <n v="0"/>
    <n v="0"/>
    <s v="SIN OTIC"/>
    <s v="Enero"/>
    <s v="Carolina Osorio"/>
    <s v="Adherida al OTIC "/>
    <n v="2387964"/>
    <n v="2387964"/>
    <s v="No Aplica"/>
    <s v="-"/>
    <s v="-"/>
    <s v="-"/>
    <m/>
    <m/>
    <m/>
  </r>
  <r>
    <n v="26"/>
    <s v="Electrica Nueva Energía "/>
    <s v="AFILIADA"/>
    <s v="76045612-8"/>
    <s v="Electrica Nueva Energía S.a"/>
    <m/>
    <x v="2"/>
    <m/>
    <s v="Sur 1 "/>
    <n v="0"/>
    <n v="0.08"/>
    <n v="0"/>
    <s v="NO INDICA"/>
    <n v="2026"/>
    <s v="Paola Muñoz"/>
    <s v="Adherida al OTIC "/>
    <n v="1000000"/>
    <n v="1000000"/>
    <s v="No Aplica"/>
    <s v="Inactivo"/>
    <m/>
    <m/>
    <m/>
    <m/>
    <m/>
  </r>
  <r>
    <n v="27"/>
    <s v="CORP LAS CONDES "/>
    <s v="AFILIADA"/>
    <s v="71004200-4"/>
    <s v="Corporacion Cultural Las Condes"/>
    <m/>
    <x v="7"/>
    <s v="No"/>
    <s v="RM "/>
    <n v="20000000"/>
    <n v="0.09"/>
    <n v="1800000"/>
    <s v="NO INDICA"/>
    <s v="Febrero"/>
    <s v="Carolina Osorio"/>
    <s v="Adherida al OTIC "/>
    <n v="2088791"/>
    <n v="-17911209"/>
    <s v="No Aplica"/>
    <s v="Activo"/>
    <s v="Licitación "/>
    <s v="Licitación "/>
    <m/>
    <m/>
    <m/>
  </r>
  <r>
    <m/>
    <s v="REMORAS"/>
    <s v="AFILIADA"/>
    <s v="76366910-6"/>
    <s v="Remoras Chile Spa"/>
    <m/>
    <x v="5"/>
    <m/>
    <s v="Sur 2"/>
    <n v="0"/>
    <m/>
    <n v="0"/>
    <m/>
    <m/>
    <s v="Carla Parada"/>
    <s v="Adherida al OTIC "/>
    <n v="456522"/>
    <n v="456522"/>
    <m/>
    <m/>
    <m/>
    <m/>
    <m/>
    <m/>
    <m/>
  </r>
  <r>
    <n v="1"/>
    <s v="ATEX RESOURCES"/>
    <s v="EN GESTIÓN"/>
    <s v="-"/>
    <s v="-"/>
    <m/>
    <x v="0"/>
    <m/>
    <s v="Norte 1"/>
    <n v="0"/>
    <n v="0"/>
    <n v="0"/>
    <s v="SIN OTIC"/>
    <n v="2026"/>
    <s v="No Asignado"/>
    <s v="Contacto Inicial - Sin Propuesta"/>
    <n v="0"/>
    <n v="0"/>
    <s v="No Aplica"/>
    <s v="Activo"/>
    <s v="Michela Ballotta "/>
    <s v="mballotta@atexresources.com"/>
    <s v="Senior HR Manager"/>
    <s v="Reunión con Elizabeth y Equipo contable 19-05"/>
    <m/>
  </r>
  <r>
    <n v="2"/>
    <s v="GBEAUTY"/>
    <s v="EN GESTIÓN"/>
    <s v="-"/>
    <s v="-"/>
    <m/>
    <x v="2"/>
    <m/>
    <s v="RM "/>
    <m/>
    <m/>
    <n v="0"/>
    <s v="SIN OTIC"/>
    <n v="2026"/>
    <s v="No Asignado"/>
    <s v="Contacto Inicial - Sin Propuesta"/>
    <n v="0"/>
    <n v="0"/>
    <s v="No Aplica"/>
    <s v="Activo"/>
    <s v="Catalina Mejias"/>
    <s v="catalina.mejias@gbeauty.cl"/>
    <m/>
    <m/>
    <m/>
  </r>
  <r>
    <n v="3"/>
    <s v="ABBOTT"/>
    <s v="PROSPECTO"/>
    <m/>
    <m/>
    <m/>
    <x v="8"/>
    <s v="No"/>
    <s v="RM "/>
    <n v="0"/>
    <n v="0"/>
    <n v="0"/>
    <s v="NO INDICA"/>
    <s v="Mayo"/>
    <s v="No Asignado"/>
    <s v="Contacto Inicial - Sin Propuesta"/>
    <n v="0"/>
    <n v="0"/>
    <s v="No Aplica"/>
    <s v="Activo"/>
    <s v="Roxana Villarroel"/>
    <s v="roxana.villarroel@abbott.com"/>
    <m/>
    <m/>
    <m/>
  </r>
  <r>
    <n v="4"/>
    <s v="ALISERVICE "/>
    <s v="PROSPECTO"/>
    <s v="-"/>
    <s v="-"/>
    <s v="EVENTO DISNEY"/>
    <x v="8"/>
    <s v="Si"/>
    <s v="RM "/>
    <n v="0"/>
    <n v="0"/>
    <n v="0"/>
    <s v="NO INDICA"/>
    <s v="No Aplica"/>
    <s v="No Asignado"/>
    <s v="Contacto Inicial - Sin Propuesta"/>
    <n v="0"/>
    <n v="0"/>
    <s v="No Aplica"/>
    <s v="Activo"/>
    <s v="Verónica Lagos "/>
    <s v="veronica.lagos@aliservice.cl"/>
    <m/>
    <s v="Prospecto sin propuesta "/>
    <m/>
  </r>
  <r>
    <n v="5"/>
    <s v="CEMAQ"/>
    <s v="PROSPECTO"/>
    <m/>
    <m/>
    <m/>
    <x v="8"/>
    <s v="No"/>
    <s v="RM "/>
    <n v="0"/>
    <n v="0"/>
    <n v="0"/>
    <s v="NO INDICA"/>
    <s v="Mayo"/>
    <s v="No Asignado"/>
    <s v="Contacto Inicial - Sin Propuesta"/>
    <n v="0"/>
    <n v="0"/>
    <s v="No Aplica"/>
    <s v="Activo"/>
    <s v="Ignacia Montecinos"/>
    <s v="ignacia.montecinos@cermaq.com"/>
    <m/>
    <m/>
    <m/>
  </r>
  <r>
    <n v="6"/>
    <s v="CIC"/>
    <s v="PROSPECTO"/>
    <s v="-"/>
    <s v="-"/>
    <s v="EVENTO DISNEY"/>
    <x v="8"/>
    <m/>
    <s v="RM "/>
    <n v="0"/>
    <n v="0"/>
    <n v="0"/>
    <s v="NO INDICA"/>
    <n v="2026"/>
    <s v="No Asignado"/>
    <s v="Contacto Inicial - Sin Propuesta"/>
    <n v="0"/>
    <n v="0"/>
    <s v="No Aplica"/>
    <s v="Activo"/>
    <s v="Alejandra Oliva"/>
    <s v="alejandra.oliva@cic.cl"/>
    <s v="Subgerente de Personas y RRLL"/>
    <m/>
    <m/>
  </r>
  <r>
    <n v="7"/>
    <s v="COPEC"/>
    <s v="PROSPECTO"/>
    <s v="-"/>
    <s v="-"/>
    <m/>
    <x v="8"/>
    <s v="No"/>
    <s v="RM "/>
    <n v="0"/>
    <n v="0"/>
    <n v="0"/>
    <s v="NO INDICA"/>
    <s v="No Aplica"/>
    <s v="No Asignado"/>
    <s v="Contacto Inicial - Sin Propuesta"/>
    <n v="0"/>
    <n v="0"/>
    <s v="No Aplica"/>
    <s v="Activo"/>
    <s v="Belen Ulloa "/>
    <s v="bulloa@copec.cl"/>
    <m/>
    <s v="Prospecto sin propuesta "/>
    <m/>
  </r>
  <r>
    <n v="8"/>
    <s v="GINO"/>
    <s v="PROSPECTO"/>
    <s v="-"/>
    <s v="-"/>
    <s v="EVENTO IA "/>
    <x v="8"/>
    <s v="Si"/>
    <s v="RM "/>
    <n v="0"/>
    <n v="0"/>
    <n v="0"/>
    <s v="NO INDICA"/>
    <s v="No Aplica"/>
    <s v="No Asignado"/>
    <s v="Contacto Inicial - Sin Propuesta"/>
    <n v="0"/>
    <n v="0"/>
    <s v="No Aplica"/>
    <s v="Activo"/>
    <s v="Carla Ibarra"/>
    <s v="cibarra@gino.cl"/>
    <m/>
    <s v="Prospecto sin propuesta "/>
    <m/>
  </r>
  <r>
    <n v="9"/>
    <s v="I - Technology"/>
    <s v="PROSPECTO"/>
    <s v="-"/>
    <s v="-"/>
    <m/>
    <x v="8"/>
    <s v="No"/>
    <s v="RM "/>
    <n v="0"/>
    <n v="0"/>
    <n v="0"/>
    <s v="SIN OTIC"/>
    <s v="Enero"/>
    <s v="No Asignado"/>
    <s v="Contacto Inicial - Sin Propuesta"/>
    <n v="0"/>
    <n v="0"/>
    <s v="No Aplica"/>
    <s v="-"/>
    <s v="Priscila Reinoso"/>
    <s v="priscila.reinoso@cl-itechnology.com"/>
    <m/>
    <m/>
    <d v="2026-01-14T00:00:00"/>
  </r>
  <r>
    <n v="10"/>
    <s v="Kärcher"/>
    <s v="PROSPECTO"/>
    <s v="-"/>
    <s v="-"/>
    <s v="EVENTO DISNEY"/>
    <x v="8"/>
    <m/>
    <s v="RM "/>
    <n v="0"/>
    <n v="0"/>
    <n v="0"/>
    <s v="NO INDICA"/>
    <n v="2026"/>
    <s v="No Asignado"/>
    <s v="Contacto Inicial - Sin Propuesta"/>
    <n v="0"/>
    <n v="0"/>
    <s v="No Aplica"/>
    <s v="Activo"/>
    <s v="Rodrigo Giudicissi"/>
    <s v="rodrigo.giudicissi@karcher.com"/>
    <s v="Country Manager"/>
    <m/>
    <m/>
  </r>
  <r>
    <n v="11"/>
    <s v="Kärcher"/>
    <s v="PROSPECTO"/>
    <s v="-"/>
    <s v="-"/>
    <s v="EVENTO DISNEY"/>
    <x v="8"/>
    <m/>
    <s v="RM "/>
    <n v="0"/>
    <n v="0"/>
    <n v="0"/>
    <s v="NO INDICA"/>
    <n v="2026"/>
    <s v="No Asignado"/>
    <s v="Contacto Inicial - Sin Propuesta"/>
    <n v="0"/>
    <n v="0"/>
    <s v="No Aplica"/>
    <s v="Activo"/>
    <s v="Mariafernanda Jiménez"/>
    <s v="mariafernanda.jimenez@karcher.com"/>
    <s v="Head of  Marketing &amp; Producto"/>
    <m/>
    <m/>
  </r>
  <r>
    <n v="12"/>
    <s v="Kärcher"/>
    <s v="PROSPECTO"/>
    <s v="-"/>
    <s v="-"/>
    <s v="EVENTO DISNEY"/>
    <x v="8"/>
    <m/>
    <s v="RM "/>
    <n v="0"/>
    <n v="0"/>
    <n v="0"/>
    <s v="NO INDICA"/>
    <n v="2026"/>
    <s v="No Asignado"/>
    <s v="Contacto Inicial - Sin Propuesta"/>
    <n v="0"/>
    <n v="0"/>
    <s v="No Aplica"/>
    <s v="Activo"/>
    <s v="Rodrigo Giudicissi"/>
    <s v="rodrigo.giudicissi@karcher.com"/>
    <s v="Country Manager"/>
    <m/>
    <m/>
  </r>
  <r>
    <n v="13"/>
    <s v="MASSIVA"/>
    <s v="PROSPECTO"/>
    <s v="-"/>
    <s v="-"/>
    <m/>
    <x v="8"/>
    <s v="No"/>
    <s v="RM "/>
    <n v="0"/>
    <n v="0"/>
    <n v="0"/>
    <s v="OTIC CCHC"/>
    <s v="No Aplica"/>
    <s v="No Asignado"/>
    <s v="Contacto Inicial - Sin Propuesta"/>
    <n v="0"/>
    <n v="0"/>
    <s v="No Aplica"/>
    <s v="Activo"/>
    <s v="Barbara Levin V. "/>
    <s v="blevin@massiva.cl"/>
    <m/>
    <m/>
    <m/>
  </r>
  <r>
    <n v="14"/>
    <s v="METROPOL"/>
    <s v="PROSPECTO"/>
    <s v="-"/>
    <s v="-"/>
    <m/>
    <x v="8"/>
    <s v="No"/>
    <s v="RM "/>
    <n v="0"/>
    <n v="0"/>
    <n v="0"/>
    <s v="OTRA"/>
    <s v="No Aplica"/>
    <s v="No Asignado"/>
    <s v="Contacto Inicial - Sin Propuesta"/>
    <n v="0"/>
    <n v="0"/>
    <s v="No Aplica"/>
    <s v="-"/>
    <s v="-"/>
    <s v="-"/>
    <m/>
    <m/>
    <m/>
  </r>
  <r>
    <n v="15"/>
    <s v="NEXTIER"/>
    <s v="PROSPECTO"/>
    <s v="-"/>
    <s v="-"/>
    <s v="EVENTO IA "/>
    <x v="8"/>
    <s v="Si"/>
    <s v="RM "/>
    <n v="0"/>
    <n v="0"/>
    <n v="0"/>
    <s v="NO INDICA"/>
    <s v="No Aplica"/>
    <s v="No Asignado"/>
    <s v="Contacto Inicial - Sin Propuesta"/>
    <n v="0"/>
    <n v="0"/>
    <s v="No Aplica"/>
    <s v="Activo"/>
    <s v="Jorge Gordillo"/>
    <s v="jgordillo@nextier.cl"/>
    <m/>
    <m/>
    <m/>
  </r>
  <r>
    <n v="16"/>
    <s v="NORMAS-ISO CHILE"/>
    <s v="PROSPECTO"/>
    <s v="-"/>
    <s v="-"/>
    <m/>
    <x v="8"/>
    <s v="No"/>
    <s v="RM "/>
    <n v="0"/>
    <n v="0"/>
    <n v="0"/>
    <s v="NO INDICA"/>
    <s v="Enero"/>
    <s v="No Asignado"/>
    <s v="Contacto Inicial - Sin Propuesta"/>
    <n v="0"/>
    <n v="0"/>
    <s v="No Aplica"/>
    <s v="-"/>
    <s v="-"/>
    <s v="-"/>
    <m/>
    <m/>
    <m/>
  </r>
  <r>
    <n v="17"/>
    <s v="OXIQUIM S.A."/>
    <s v="PROSPECTO"/>
    <s v="-"/>
    <s v="-"/>
    <s v="EVENTO DISNEY"/>
    <x v="8"/>
    <m/>
    <s v="RM "/>
    <n v="0"/>
    <n v="0"/>
    <n v="0"/>
    <s v="OTIC SOFOFA"/>
    <n v="2026"/>
    <s v="No Asignado"/>
    <s v="Contacto Inicial - Sin Propuesta"/>
    <n v="0"/>
    <n v="0"/>
    <s v="No Aplica"/>
    <s v="Activo"/>
    <s v="DAVID MILLIE"/>
    <s v="david.millie@oxiquim.com"/>
    <s v="HEAD DE DISTRIBUCIÓN COMERCIAL"/>
    <m/>
    <m/>
  </r>
  <r>
    <n v="18"/>
    <s v="OXIQUIM S.A."/>
    <s v="PROSPECTO"/>
    <s v="-"/>
    <s v="-"/>
    <m/>
    <x v="8"/>
    <m/>
    <s v="RM "/>
    <n v="0"/>
    <n v="0"/>
    <n v="0"/>
    <s v="OTIC SOFOFA"/>
    <n v="2026"/>
    <s v="No Asignado"/>
    <s v="Contacto Inicial - Sin Propuesta"/>
    <n v="0"/>
    <n v="0"/>
    <s v="No Aplica"/>
    <s v="Activo"/>
    <s v="Camila Altamirano "/>
    <s v="Camila.altamirano@oxiquim.com"/>
    <m/>
    <m/>
    <m/>
  </r>
  <r>
    <n v="19"/>
    <s v="Randstad"/>
    <s v="PROSPECTO"/>
    <s v="-"/>
    <s v="-"/>
    <s v="EVENTO DISNEY"/>
    <x v="8"/>
    <m/>
    <s v="RM "/>
    <n v="0"/>
    <n v="0"/>
    <n v="0"/>
    <s v="NO INDICA"/>
    <n v="2026"/>
    <s v="No Asignado"/>
    <s v="Contacto Inicial - Sin Propuesta"/>
    <n v="0"/>
    <n v="0"/>
    <s v="No Aplica"/>
    <s v="Activo"/>
    <s v="Jennifer Blest Roa "/>
    <s v="jblest@randstad.cl"/>
    <s v="Manager HSE &amp; Formación"/>
    <m/>
    <m/>
  </r>
  <r>
    <n v="20"/>
    <s v="SAESA"/>
    <s v="PROSPECTO"/>
    <m/>
    <m/>
    <m/>
    <x v="8"/>
    <s v="No"/>
    <s v="Sur 2"/>
    <n v="0"/>
    <n v="0"/>
    <n v="0"/>
    <s v="NO INDICA"/>
    <s v="Mayo"/>
    <s v="No Asignado"/>
    <s v="Contacto Inicial - Sin Propuesta"/>
    <n v="0"/>
    <n v="0"/>
    <s v="No Aplica"/>
    <s v="Activo"/>
    <s v="Nicol Aguila"/>
    <s v=" nicol.aguila@saesa.cl"/>
    <m/>
    <s v="contacto arturo alvarez "/>
    <m/>
  </r>
  <r>
    <n v="21"/>
    <s v="Talentfinder Chile"/>
    <s v="PROSPECTO"/>
    <s v="-"/>
    <s v="-"/>
    <s v="EVENTO DISNEY"/>
    <x v="8"/>
    <m/>
    <s v="RM "/>
    <n v="0"/>
    <n v="0"/>
    <n v="0"/>
    <s v="NO INDICA"/>
    <n v="2026"/>
    <s v="No Asignado"/>
    <s v="Contacto Inicial - Sin Propuesta"/>
    <n v="0"/>
    <n v="0"/>
    <s v="No Aplica"/>
    <s v="Activo"/>
    <s v="Macarena Valenzuela "/>
    <s v="Macarena.valenzuela@talentfinder.cl"/>
    <s v="Gerente de Formación "/>
    <m/>
    <m/>
  </r>
  <r>
    <n v="22"/>
    <s v="ULTRAPORT "/>
    <s v="PROSPECTO"/>
    <m/>
    <m/>
    <m/>
    <x v="8"/>
    <s v="No"/>
    <s v="Sur 2"/>
    <n v="0"/>
    <n v="0"/>
    <n v="0"/>
    <s v="NO INDICA"/>
    <s v="Mayo"/>
    <s v="No Asignado"/>
    <s v="Contacto Inicial - Sin Propuesta"/>
    <n v="0"/>
    <n v="0"/>
    <s v="No Aplica"/>
    <s v="Activo"/>
    <s v="Marcela Quinteros Pardo, Andrés Muñoz"/>
    <s v=" mquinteros@ultraport.cl,  amunozr@ultraport.cl"/>
    <m/>
    <s v="contacto arturo alvarez "/>
    <m/>
  </r>
  <r>
    <n v="23"/>
    <s v="VOY AMERICA SANTIAGO"/>
    <s v="PROSPECTO"/>
    <s v="-"/>
    <s v="-"/>
    <m/>
    <x v="8"/>
    <s v="No"/>
    <s v="RM "/>
    <n v="0"/>
    <n v="0"/>
    <n v="0"/>
    <s v="NO INDICA"/>
    <s v="No Aplica"/>
    <s v="No Asignado"/>
    <s v="Contacto Inicial - Sin Propuesta"/>
    <n v="0"/>
    <n v="0"/>
    <s v="No Aplica"/>
    <s v="Activo"/>
    <s v="Angelain Merino "/>
    <s v="angelain.merino@voysantiago.cl"/>
    <m/>
    <m/>
    <m/>
  </r>
  <r>
    <n v="24"/>
    <s v="NEWTRADE"/>
    <s v="PROSPECTO"/>
    <s v="-"/>
    <s v="-"/>
    <m/>
    <x v="8"/>
    <m/>
    <s v="RM "/>
    <n v="8500000"/>
    <n v="0.1"/>
    <n v="850000"/>
    <s v="NO INDICA"/>
    <n v="2025"/>
    <s v="No Asignado"/>
    <s v="Contacto Inicial - Sin Propuesta"/>
    <n v="0"/>
    <n v="-8500000"/>
    <s v="No Aplica"/>
    <s v="Activo"/>
    <s v="María Alejandra Arzulluz"/>
    <s v="aarzalluz@newtrade.cl"/>
    <m/>
    <m/>
    <m/>
  </r>
  <r>
    <n v="25"/>
    <s v="NEWTRADE"/>
    <s v="PROSPECTO"/>
    <s v="-"/>
    <s v="-"/>
    <s v="Nueva Ley Delitos"/>
    <x v="8"/>
    <s v="Si"/>
    <s v="RM "/>
    <n v="0"/>
    <n v="0"/>
    <n v="0"/>
    <s v="NO INDICA"/>
    <n v="2025"/>
    <s v="No Asignado"/>
    <s v="Contacto Inicial - Sin Propuesta"/>
    <n v="0"/>
    <n v="0"/>
    <s v="No Aplica"/>
    <s v="Activo"/>
    <s v="Daniela Muñoz"/>
    <s v="dmunoz@newtrade.cl"/>
    <s v="Subgerente de Recursos Humanos"/>
    <m/>
    <m/>
  </r>
  <r>
    <n v="26"/>
    <s v="NEWTRADE"/>
    <s v="PROSPECTO"/>
    <s v="-"/>
    <s v="-"/>
    <s v="Nueva Ley Delitos"/>
    <x v="8"/>
    <s v="Si"/>
    <s v="RM "/>
    <n v="0"/>
    <n v="0"/>
    <n v="0"/>
    <s v="NO INDICA"/>
    <n v="2025"/>
    <s v="No Asignado"/>
    <s v="Contacto Inicial - Sin Propuesta"/>
    <n v="0"/>
    <n v="0"/>
    <s v="No Aplica"/>
    <s v="Activo"/>
    <s v="Juan Pablo Muñoz"/>
    <s v="jmunoz@newtrade.cl"/>
    <s v="Subgerente de Finanzas"/>
    <m/>
    <m/>
  </r>
  <r>
    <n v="27"/>
    <s v="CORP. LA REINA"/>
    <s v="EN GESTIÓN"/>
    <s v="-"/>
    <s v="-"/>
    <m/>
    <x v="7"/>
    <s v="No"/>
    <s v="RM "/>
    <n v="90000000"/>
    <n v="0.01"/>
    <n v="900000"/>
    <s v="NO INDICA"/>
    <s v="Febrero"/>
    <s v="Carolina Osorio"/>
    <s v="Proceso de afiliación"/>
    <n v="0"/>
    <n v="-90000000"/>
    <s v="No Aplica"/>
    <s v="Activo"/>
    <s v="Licitación "/>
    <s v="Licitación "/>
    <m/>
    <m/>
    <m/>
  </r>
  <r>
    <n v="28"/>
    <s v="CROSSNET"/>
    <s v="EN GESTIÓN"/>
    <s v="-"/>
    <s v="-"/>
    <m/>
    <x v="0"/>
    <s v="No"/>
    <s v="RM "/>
    <n v="21000000"/>
    <n v="0.08"/>
    <n v="1680000"/>
    <s v="SIN OTIC"/>
    <s v="Marzo"/>
    <s v="Beatriz Silva "/>
    <s v="Proceso de afiliación"/>
    <n v="0"/>
    <n v="-21000000"/>
    <s v="No Aplica"/>
    <s v="Activo"/>
    <s v="Mónica Criollo"/>
    <s v="mcriollo@crossnet.cl"/>
    <m/>
    <m/>
    <d v="2026-03-13T00:00:00"/>
  </r>
  <r>
    <n v="29"/>
    <s v="GXO "/>
    <s v="EN GESTIÓN"/>
    <s v="-"/>
    <s v="-"/>
    <m/>
    <x v="1"/>
    <s v="No"/>
    <s v="RM "/>
    <n v="6600000"/>
    <n v="7.0000000000000007E-2"/>
    <n v="462000.00000000006"/>
    <s v="SIN OTIC"/>
    <s v="Enero"/>
    <s v="No Asignado"/>
    <s v="Proceso de afiliación"/>
    <n v="0"/>
    <n v="-6600000"/>
    <s v="No Aplica"/>
    <s v="Activo"/>
    <s v="Pedro Caballero"/>
    <s v="pedro.caballero@gxo.com"/>
    <m/>
    <m/>
    <d v="2026-01-21T00:00:00"/>
  </r>
  <r>
    <n v="30"/>
    <s v="MINISO"/>
    <s v="EN GESTIÓN"/>
    <s v="-"/>
    <s v="-"/>
    <m/>
    <x v="4"/>
    <s v="No"/>
    <s v="RM "/>
    <n v="15000000"/>
    <n v="0.05"/>
    <n v="750000"/>
    <s v="SIN OTIC"/>
    <s v="Febrero"/>
    <s v="Carolina Osorio"/>
    <s v="Proceso de afiliación"/>
    <n v="0"/>
    <n v="-15000000"/>
    <s v="No Aplica"/>
    <s v="Activo"/>
    <s v="Karen Sierra"/>
    <s v="karen.sierra@miniso.cl"/>
    <m/>
    <s v="Se envía propuesta "/>
    <d v="2026-02-05T00:00:00"/>
  </r>
  <r>
    <n v="31"/>
    <s v="NEWE HOPE ECOTECH"/>
    <s v="EN GESTIÓN"/>
    <s v="-"/>
    <s v="-"/>
    <m/>
    <x v="2"/>
    <m/>
    <s v="RM "/>
    <n v="10081899"/>
    <n v="0.08"/>
    <n v="806551.92"/>
    <s v="NO INDICA"/>
    <n v="2026"/>
    <s v="Valentina Alarcón "/>
    <s v="Proceso de afiliación"/>
    <n v="0"/>
    <n v="-10081899"/>
    <s v="No Aplica"/>
    <s v="Activo"/>
    <s v="Tayse Espinoza"/>
    <s v="tayse.kusterko@nhecotech.com"/>
    <m/>
    <m/>
    <m/>
  </r>
  <r>
    <n v="32"/>
    <s v="REDCARGO"/>
    <s v="EN GESTIÓN"/>
    <s v="99562030-8"/>
    <s v="Transportes Diaz e Hijos S.A."/>
    <m/>
    <x v="1"/>
    <s v="No"/>
    <s v="Norte 2 "/>
    <n v="7000000"/>
    <n v="0.06"/>
    <n v="420000"/>
    <s v="SIN OTIC"/>
    <n v="2025"/>
    <s v="Elizabeth Cardenas "/>
    <s v="Proceso de afiliación"/>
    <n v="0"/>
    <n v="-7000000"/>
    <s v="No Aplica"/>
    <s v="Activo"/>
    <m/>
    <m/>
    <m/>
    <m/>
    <m/>
  </r>
  <r>
    <n v="33"/>
    <s v="REDCARGO"/>
    <s v="EN GESTIÓN"/>
    <s v="-"/>
    <s v="-"/>
    <m/>
    <x v="1"/>
    <s v="No"/>
    <s v="Norte 2 "/>
    <n v="0"/>
    <n v="0"/>
    <n v="0"/>
    <s v="SIN OTIC"/>
    <n v="2025"/>
    <s v="Elizabeth Cardenas "/>
    <s v="Proceso de afiliación"/>
    <n v="0"/>
    <n v="0"/>
    <s v="No Aplica"/>
    <s v="Activo"/>
    <m/>
    <m/>
    <m/>
    <m/>
    <m/>
  </r>
  <r>
    <n v="34"/>
    <s v="HEAVENWARD"/>
    <s v="EN GESTIÓN"/>
    <s v="-"/>
    <s v="-"/>
    <m/>
    <x v="2"/>
    <s v="No"/>
    <s v="RM "/>
    <n v="60000000"/>
    <n v="0.08"/>
    <n v="4800000"/>
    <s v="OTIC CCHC"/>
    <s v="Enero"/>
    <s v="Beatriz Silva "/>
    <s v="Proceso de afiliación"/>
    <n v="0"/>
    <n v="-60000000"/>
    <s v="No Aplica"/>
    <s v="Activo"/>
    <s v="Jeanette Retamal  y Camila Correa"/>
    <s v="jeannette.retamal@heavenward.cl, camila.correa@heavenward.cl"/>
    <m/>
    <s v="20-01-2026 Correo recordatorio "/>
    <d v="2026-01-12T00:00:00"/>
  </r>
  <r>
    <n v="35"/>
    <s v="ARISTIA "/>
    <s v="EN GESTIÓN"/>
    <s v="-"/>
    <s v="-"/>
    <m/>
    <x v="4"/>
    <s v="No"/>
    <s v="RM "/>
    <n v="500000000"/>
    <n v="0.05"/>
    <n v="25000000"/>
    <s v="NO INDICA"/>
    <s v="Febrero"/>
    <s v="No Asignado"/>
    <s v="Propuesta Enviada  "/>
    <n v="0"/>
    <n v="-500000000"/>
    <s v="No Aplica"/>
    <s v="Activo"/>
    <s v="Luna Avendaño"/>
    <s v="tavendano@ariztia.com"/>
    <m/>
    <s v="Enviada x Don Michel "/>
    <m/>
  </r>
  <r>
    <n v="36"/>
    <s v="CAE"/>
    <s v="EN GESTIÓN"/>
    <s v="-"/>
    <s v="-"/>
    <m/>
    <x v="2"/>
    <s v="No"/>
    <s v="RM "/>
    <n v="7000000"/>
    <n v="0.08"/>
    <n v="560000"/>
    <s v="NO INDICA"/>
    <s v="Febrero"/>
    <s v="No Asignado"/>
    <s v="Propuesta Enviada  "/>
    <n v="0"/>
    <n v="-7000000"/>
    <s v="No Aplica"/>
    <s v="Activo"/>
    <s v="Patsy Silva"/>
    <s v="patsy.silva@cae.com"/>
    <m/>
    <m/>
    <m/>
  </r>
  <r>
    <n v="37"/>
    <s v="CLINICA ALEMANA "/>
    <s v="EN GESTIÓN"/>
    <s v="-"/>
    <s v="-"/>
    <m/>
    <x v="4"/>
    <s v="No"/>
    <s v="Sur 2"/>
    <n v="50000000"/>
    <n v="7.0000000000000007E-2"/>
    <n v="3500000.0000000005"/>
    <s v="NO INDICA"/>
    <s v="Febrero"/>
    <s v="No Asignado"/>
    <s v="Propuesta Enviada  "/>
    <n v="0"/>
    <n v="-50000000"/>
    <s v="No Aplica"/>
    <s v="Activo"/>
    <s v="Veronica Fritz"/>
    <s v="vfritz@alemana.cl"/>
    <m/>
    <m/>
    <m/>
  </r>
  <r>
    <n v="38"/>
    <s v="CONSTRUCTORA SIERRA NEVADA S.A"/>
    <s v="EN GESTIÓN"/>
    <s v="-"/>
    <s v="-"/>
    <m/>
    <x v="4"/>
    <s v="No"/>
    <s v="Sur 2"/>
    <n v="50000000"/>
    <n v="0.08"/>
    <n v="4000000"/>
    <s v="NO INDICA"/>
    <s v="Febrero"/>
    <s v="No Asignado"/>
    <s v="Propuesta Enviada  "/>
    <n v="0"/>
    <n v="-50000000"/>
    <s v="No Aplica"/>
    <s v="Activo"/>
    <s v="Claudio "/>
    <s v="cgc.asesor@gmail.com"/>
    <m/>
    <m/>
    <m/>
  </r>
  <r>
    <n v="39"/>
    <s v="CORDESA"/>
    <s v="EN GESTIÓN"/>
    <s v="-"/>
    <s v="-"/>
    <m/>
    <x v="1"/>
    <s v="No"/>
    <s v="RM "/>
    <n v="20000000"/>
    <n v="0.125"/>
    <n v="2500000"/>
    <s v="NO INDICA"/>
    <s v="Mayo"/>
    <s v="No Asignado"/>
    <s v="Propuesta Enviada  "/>
    <n v="0"/>
    <n v="-20000000"/>
    <s v="No Aplica"/>
    <s v="Activo"/>
    <s v="Yamira Pino"/>
    <s v="ypino@cordesan.cl"/>
    <m/>
    <m/>
    <d v="2026-05-12T00:00:00"/>
  </r>
  <r>
    <n v="40"/>
    <s v="DOREL"/>
    <s v="EN GESTIÓN"/>
    <s v="76171658-1"/>
    <s v="DOREL JUVENILE CHILE S.A"/>
    <m/>
    <x v="2"/>
    <s v="No"/>
    <s v="RM "/>
    <n v="50000000"/>
    <n v="0.08"/>
    <n v="4000000"/>
    <s v="SIN OTIC"/>
    <s v="Enero"/>
    <s v="No Asignado"/>
    <s v="Propuesta Enviada  "/>
    <n v="0"/>
    <n v="-50000000"/>
    <s v="No Aplica"/>
    <s v="Activo"/>
    <s v="Antonio Castro"/>
    <s v="antonio.castro@dorel.cl"/>
    <m/>
    <s v="Se envia correo consulta fecha 20-01"/>
    <d v="2026-01-14T00:00:00"/>
  </r>
  <r>
    <n v="41"/>
    <s v="EMPIRICA CONSULTORES"/>
    <s v="EN GESTIÓN"/>
    <s v="-"/>
    <s v="-"/>
    <s v="EVENTO IA "/>
    <x v="2"/>
    <s v="Si"/>
    <s v="RM "/>
    <n v="12000000"/>
    <n v="0.1"/>
    <n v="1200000"/>
    <s v="NO INDICA"/>
    <s v="Marzo"/>
    <s v="No Asignado"/>
    <s v="Propuesta Enviada  "/>
    <n v="0"/>
    <n v="-12000000"/>
    <s v="No Aplica"/>
    <s v="Activo"/>
    <s v="Alfonso Cornejo "/>
    <s v="acornejo@empiricaconsultores.cl"/>
    <m/>
    <s v="Enviada por Lilian "/>
    <m/>
  </r>
  <r>
    <n v="42"/>
    <s v="FANTASILANDIA"/>
    <s v="EN GESTIÓN"/>
    <s v="-"/>
    <s v="-"/>
    <s v="EVENTO DISNEY"/>
    <x v="4"/>
    <s v="Si"/>
    <s v="RM "/>
    <n v="80000000"/>
    <n v="0.06"/>
    <n v="4800000"/>
    <s v="NO INDICA"/>
    <s v="Enero"/>
    <s v="No Asignado"/>
    <s v="Propuesta Enviada  "/>
    <n v="0"/>
    <n v="-80000000"/>
    <s v="No Aplica"/>
    <s v="Activo"/>
    <s v="Angel Daille Chacón"/>
    <s v="adaille@fantasilandia.cl"/>
    <m/>
    <s v="Enviada x Don Michel "/>
    <d v="2026-01-07T00:00:00"/>
  </r>
  <r>
    <n v="43"/>
    <s v="FLOW"/>
    <s v="EN GESTIÓN"/>
    <s v="-"/>
    <s v="-"/>
    <m/>
    <x v="2"/>
    <s v="No"/>
    <s v="RM "/>
    <n v="10000000"/>
    <n v="0.12"/>
    <n v="1200000"/>
    <s v="SIN OTIC"/>
    <s v="Febrero"/>
    <s v="No Asignado"/>
    <s v="Propuesta Enviada  "/>
    <n v="0"/>
    <n v="-10000000"/>
    <s v="No Aplica"/>
    <s v="Activo"/>
    <s v="Josefina Urrutia"/>
    <s v="jurrutia@flow.cl"/>
    <m/>
    <s v="Tiene 3 Tasas 10.000.000 con 12%, 18.000.000 con 10% y 29.000.000 con 8%"/>
    <d v="2026-02-26T00:00:00"/>
  </r>
  <r>
    <n v="44"/>
    <s v="GAUSS CONTROL"/>
    <s v="EN GESTIÓN"/>
    <s v="-"/>
    <s v="-"/>
    <m/>
    <x v="6"/>
    <s v="No"/>
    <s v="RM "/>
    <n v="16873332"/>
    <n v="0.09"/>
    <n v="1518599.88"/>
    <s v="SIN OTIC"/>
    <s v="Marzo"/>
    <s v="No Asignado"/>
    <s v="Propuesta Enviada  "/>
    <n v="0"/>
    <n v="-16873332"/>
    <s v="No Aplica"/>
    <s v="Activo"/>
    <s v="Constanza Nuñez "/>
    <s v="cnunez@gausscontrol.com"/>
    <m/>
    <m/>
    <d v="2026-03-12T00:00:00"/>
  </r>
  <r>
    <n v="45"/>
    <s v="GE VIAL"/>
    <s v="EN GESTIÓN"/>
    <s v="-"/>
    <s v="-"/>
    <m/>
    <x v="1"/>
    <s v="No"/>
    <s v="RM "/>
    <n v="7000000"/>
    <n v="7.0000000000000007E-2"/>
    <n v="490000.00000000006"/>
    <s v="NO INDICA"/>
    <s v="Marzo"/>
    <s v="No Asignado"/>
    <s v="Propuesta Enviada  "/>
    <n v="0"/>
    <n v="-7000000"/>
    <s v="No Aplica"/>
    <s v="Activo"/>
    <s v="Amelia Caris"/>
    <s v="acaris@gevial.cl"/>
    <m/>
    <m/>
    <m/>
  </r>
  <r>
    <n v="46"/>
    <s v="GENERICA(DON MICHEL)"/>
    <s v="EN GESTIÓN"/>
    <s v="-"/>
    <s v="-"/>
    <m/>
    <x v="2"/>
    <s v="No"/>
    <s v="RM "/>
    <n v="15000000"/>
    <n v="0.05"/>
    <n v="750000"/>
    <s v="NO INDICA"/>
    <s v="Febrero"/>
    <s v="No Asignado"/>
    <s v="Propuesta Enviada  "/>
    <n v="0"/>
    <n v="-15000000"/>
    <s v="No Aplica"/>
    <s v="Activo"/>
    <s v="Solange Roudergue"/>
    <s v="sroudergue@genera.cl"/>
    <m/>
    <m/>
    <m/>
  </r>
  <r>
    <n v="47"/>
    <s v="GRUPO LAGOS"/>
    <s v="EN GESTIÓN"/>
    <s v="-"/>
    <s v="-"/>
    <m/>
    <x v="4"/>
    <s v="No"/>
    <s v="RM "/>
    <n v="160000000"/>
    <n v="0.02"/>
    <n v="3200000"/>
    <s v="OTIC COMERCIO "/>
    <s v="Enero"/>
    <s v="No Asignado"/>
    <s v="Propuesta Enviada  "/>
    <n v="0"/>
    <n v="-160000000"/>
    <s v="No Aplica"/>
    <s v="Activo"/>
    <s v="Fernanda Olmos"/>
    <s v="fernanda.olmos@grupolagos.cl"/>
    <m/>
    <s v="Referido Pablo Work Force "/>
    <d v="2026-01-08T00:00:00"/>
  </r>
  <r>
    <n v="48"/>
    <s v="GRUPO MARITEX "/>
    <s v="EN GESTIÓN"/>
    <s v="-"/>
    <s v="-"/>
    <m/>
    <x v="2"/>
    <s v="No"/>
    <s v="RM "/>
    <n v="16000000"/>
    <n v="0.09"/>
    <n v="1440000"/>
    <s v="SIN OTIC"/>
    <s v="Marzo"/>
    <s v="No Asignado"/>
    <s v="Propuesta Enviada  "/>
    <n v="0"/>
    <n v="-16000000"/>
    <s v="No Aplica"/>
    <s v="Activo"/>
    <s v="Maira Poblete"/>
    <s v="do@grupomaritex.cl"/>
    <m/>
    <m/>
    <m/>
  </r>
  <r>
    <n v="49"/>
    <s v="HAULMER"/>
    <s v="EN GESTIÓN"/>
    <s v="-"/>
    <s v="-"/>
    <m/>
    <x v="2"/>
    <s v="No"/>
    <s v="RM "/>
    <n v="40000000"/>
    <n v="0.08"/>
    <n v="3200000"/>
    <s v="NO INDICA"/>
    <s v="Marzo"/>
    <s v="No Asignado"/>
    <s v="Propuesta Enviada  "/>
    <n v="0"/>
    <n v="-40000000"/>
    <s v="No Aplica"/>
    <s v="Activo"/>
    <s v="Cristian Gallardo"/>
    <s v="cristhian.gallardo@haulmer.com"/>
    <m/>
    <m/>
    <m/>
  </r>
  <r>
    <n v="50"/>
    <s v="HOLDING WS"/>
    <s v="EN GESTIÓN"/>
    <s v="-"/>
    <s v="-"/>
    <m/>
    <x v="6"/>
    <s v="No"/>
    <s v="RM "/>
    <n v="27494882"/>
    <n v="7.0000000000000007E-2"/>
    <n v="1924641.7400000002"/>
    <s v="NO INDICA"/>
    <s v="Abril"/>
    <s v="No Asignado"/>
    <s v="Propuesta Enviada  "/>
    <n v="0"/>
    <n v="-27494882"/>
    <s v="No Aplica"/>
    <s v="Activo"/>
    <s v="Gema Hosima Gonzales"/>
    <s v="gema.hosima@hws.cl"/>
    <m/>
    <m/>
    <d v="2026-04-16T00:00:00"/>
  </r>
  <r>
    <n v="51"/>
    <s v="HOTEL NIPPON"/>
    <s v="EN GESTIÓN"/>
    <s v="-"/>
    <s v="-"/>
    <m/>
    <x v="2"/>
    <m/>
    <s v="RM "/>
    <n v="4585330"/>
    <n v="0.12"/>
    <n v="550239.6"/>
    <s v="NO INDICA"/>
    <n v="2026"/>
    <s v="No Asignado"/>
    <s v="Propuesta Enviada  "/>
    <n v="0"/>
    <n v="-4585330"/>
    <s v="No Aplica"/>
    <s v="Activo"/>
    <s v="V eronica Silva"/>
    <s v="vsilva@hotelnippon.cl"/>
    <m/>
    <m/>
    <m/>
  </r>
  <r>
    <n v="52"/>
    <s v="LA FUTOLOGIA "/>
    <s v="EN GESTIÓN"/>
    <s v="-"/>
    <s v="-"/>
    <m/>
    <x v="0"/>
    <s v="No"/>
    <s v="RM "/>
    <m/>
    <n v="0.15"/>
    <n v="0"/>
    <s v="SIN OTIC"/>
    <s v="Mayo"/>
    <s v="No Asignado"/>
    <s v="Propuesta Enviada  "/>
    <n v="0"/>
    <n v="0"/>
    <s v="No Aplica"/>
    <s v="Activo"/>
    <s v="Andreina Torrealba"/>
    <s v="a.torrealba@lafrutologia.cl"/>
    <m/>
    <s v="CONTRAGASTO"/>
    <d v="2026-05-04T00:00:00"/>
  </r>
  <r>
    <n v="53"/>
    <s v="MOREAU"/>
    <s v="EN GESTIÓN"/>
    <s v="-"/>
    <s v="-"/>
    <m/>
    <x v="2"/>
    <s v="No"/>
    <s v="RM "/>
    <n v="5000000"/>
    <n v="0.12"/>
    <n v="600000"/>
    <s v="NO INDICA"/>
    <s v="Febrero"/>
    <s v="No Asignado"/>
    <s v="Propuesta Enviada  "/>
    <n v="0"/>
    <n v="-5000000"/>
    <s v="No Aplica"/>
    <s v="Activo"/>
    <s v="Paulina Soto y Fabiola Carcamo"/>
    <s v="psoto@moreau.ca; fcarcamo@moreau.ca"/>
    <m/>
    <m/>
    <d v="2026-02-26T00:00:00"/>
  </r>
  <r>
    <n v="54"/>
    <s v="PF ALIMENTOS "/>
    <s v="EN GESTIÓN"/>
    <s v="-"/>
    <s v="-"/>
    <m/>
    <x v="4"/>
    <s v="No"/>
    <s v="Sur 1 "/>
    <n v="680000000"/>
    <n v="1.7999999999999999E-2"/>
    <n v="12240000"/>
    <s v="OTIC COMERCIO "/>
    <s v="Enero"/>
    <s v="No Asignado"/>
    <s v="Propuesta Enviada  "/>
    <n v="0"/>
    <n v="-680000000"/>
    <s v="No Aplica"/>
    <s v="Activo"/>
    <s v="Pamela Casanova"/>
    <s v="pamela.casanova@pfalimentos.cl"/>
    <m/>
    <s v="Rederido INACAP"/>
    <d v="2026-01-14T00:00:00"/>
  </r>
  <r>
    <n v="55"/>
    <s v="POLLA CHILENA "/>
    <s v="EN GESTIÓN"/>
    <s v="-"/>
    <s v="-"/>
    <m/>
    <x v="6"/>
    <s v="No"/>
    <s v="RM "/>
    <n v="17000000"/>
    <n v="0.08"/>
    <n v="1360000"/>
    <s v="SIN OTIC"/>
    <s v="Febrero"/>
    <s v="No Asignado"/>
    <s v="Propuesta Enviada  "/>
    <n v="0"/>
    <n v="-17000000"/>
    <s v="No Aplica"/>
    <s v="Activo"/>
    <s v="Patricia Cuevas y Fabiola Ulloa"/>
    <s v="patricia.cuevas@pollachilena.cl , fabiola.ulloa@pollachilena.cl"/>
    <m/>
    <s v="Tiene dos tasas 17.000.000 con 8% y un 17.000.000 con un 15%,8% y 7%"/>
    <d v="2026-02-26T00:00:00"/>
  </r>
  <r>
    <n v="56"/>
    <s v="SAAM"/>
    <s v="EN GESTIÓN"/>
    <s v="-"/>
    <s v="-"/>
    <m/>
    <x v="4"/>
    <s v="No"/>
    <s v="RM "/>
    <n v="13000000"/>
    <n v="0.09"/>
    <n v="1170000"/>
    <s v="OTIC SOFOFA"/>
    <s v="Febrero"/>
    <s v="No Asignado"/>
    <s v="Propuesta Enviada  "/>
    <n v="0"/>
    <n v="-13000000"/>
    <s v="No Aplica"/>
    <s v="Activo"/>
    <s v="Florencia Paz Hevia "/>
    <s v="fhevias@saam.cl"/>
    <m/>
    <s v="Conoce a don Michel "/>
    <d v="2026-02-24T00:00:00"/>
  </r>
  <r>
    <n v="57"/>
    <s v="TD SYNNEX"/>
    <s v="EN GESTIÓN"/>
    <s v="-"/>
    <s v="-"/>
    <m/>
    <x v="2"/>
    <s v="No"/>
    <s v="RM "/>
    <n v="0"/>
    <n v="0"/>
    <n v="0"/>
    <s v="NO INDICA"/>
    <s v="Enero"/>
    <s v="No Asignado"/>
    <s v="Propuesta Enviada  "/>
    <n v="0"/>
    <n v="0"/>
    <s v="No Aplica"/>
    <s v="Activo"/>
    <s v="Natasha Sanchez"/>
    <s v="natasha.sanchez@tdsynnex.com"/>
    <m/>
    <s v="Falta monto 1% para enviar propuesta de Servicios OTIC"/>
    <d v="2026-01-12T00:00:00"/>
  </r>
  <r>
    <n v="58"/>
    <s v="T-DEUDAS"/>
    <s v="EN GESTIÓN"/>
    <s v="-"/>
    <s v="-"/>
    <m/>
    <x v="2"/>
    <s v="No"/>
    <s v="RM "/>
    <n v="4500000"/>
    <n v="0.08"/>
    <n v="360000"/>
    <s v="NO INDICA"/>
    <s v="Marzo"/>
    <s v="No Asignado"/>
    <s v="Propuesta Enviada  "/>
    <n v="0"/>
    <n v="-4500000"/>
    <s v="No Aplica"/>
    <s v="Activo"/>
    <s v="Roxana Lagos "/>
    <s v="yulia@tusdeudas.com"/>
    <m/>
    <s v="Propuesta Enviada por Lili"/>
    <m/>
  </r>
  <r>
    <n v="59"/>
    <s v="TEGA INTRUTRIES"/>
    <s v="EN GESTIÓN"/>
    <s v="-"/>
    <s v="-"/>
    <m/>
    <x v="0"/>
    <m/>
    <s v="RM "/>
    <n v="52000000"/>
    <n v="0.15"/>
    <n v="7800000"/>
    <s v="OTIC ASIMET"/>
    <n v="2026"/>
    <s v="No Asignado"/>
    <s v="Propuesta Enviada  "/>
    <n v="0"/>
    <n v="-52000000"/>
    <s v="No Aplica"/>
    <s v="Activo"/>
    <s v="Daniela Plaza"/>
    <s v="daniela.plaza@tegaindustries.cl"/>
    <s v="Head of Organizational Development."/>
    <m/>
    <m/>
  </r>
  <r>
    <n v="60"/>
    <s v="VALORAMAS "/>
    <s v="EN GESTIÓN"/>
    <s v="-"/>
    <s v="-"/>
    <m/>
    <x v="2"/>
    <s v="No"/>
    <s v="RM "/>
    <n v="2600000"/>
    <n v="0.15"/>
    <n v="390000"/>
    <s v="NO INDICA"/>
    <s v="Abril"/>
    <s v="No Asignado"/>
    <s v="Propuesta Enviada  "/>
    <n v="0"/>
    <n v="-2600000"/>
    <s v="No Aplica"/>
    <s v="Activo"/>
    <s v="Nancy Palacios"/>
    <s v="nsaenzpalacios@gmail.com"/>
    <m/>
    <m/>
    <d v="2026-02-21T00:00:00"/>
  </r>
  <r>
    <n v="61"/>
    <s v="VYF SISTEMAS "/>
    <s v="EN GESTIÓN"/>
    <s v="-"/>
    <s v="-"/>
    <m/>
    <x v="2"/>
    <s v="No"/>
    <s v="RM "/>
    <n v="0"/>
    <n v="0.1"/>
    <n v="0"/>
    <s v="NO INDICA"/>
    <s v="Mayo"/>
    <s v="No Asignado"/>
    <s v="Propuesta Enviada  "/>
    <n v="0"/>
    <n v="0"/>
    <s v="No Aplica"/>
    <s v="Activo"/>
    <s v="Felix Araya "/>
    <s v="felixaraya@vyfsistemas.cl"/>
    <m/>
    <m/>
    <d v="2026-05-05T00:00:00"/>
  </r>
  <r>
    <n v="62"/>
    <s v="PSINET"/>
    <s v="EN GESTIÓN"/>
    <s v="-"/>
    <s v="-"/>
    <m/>
    <x v="4"/>
    <m/>
    <s v="RM "/>
    <n v="100000000"/>
    <n v="0.04"/>
    <n v="4000000"/>
    <s v="SIN OTIC"/>
    <n v="2026"/>
    <s v="No Asignado"/>
    <s v="Propuesta Enviada  "/>
    <n v="0"/>
    <n v="-100000000"/>
    <s v="No Aplica"/>
    <s v="Activo"/>
    <s v="Carolina Klenner"/>
    <s v="carolina.klenner@psinet.cl"/>
    <m/>
    <m/>
    <m/>
  </r>
  <r>
    <n v="63"/>
    <s v="PSINET"/>
    <s v="EN GESTIÓN"/>
    <s v="-"/>
    <s v="-"/>
    <m/>
    <x v="4"/>
    <m/>
    <s v="RM "/>
    <n v="0"/>
    <m/>
    <n v="0"/>
    <s v="SIN OTIC"/>
    <n v="2026"/>
    <s v="No Asignado"/>
    <s v="Propuesta Enviada  "/>
    <n v="0"/>
    <n v="0"/>
    <s v="No Aplica"/>
    <s v="Activo"/>
    <s v="Jhanmary Molina"/>
    <s v="jhanmary.molina@psinet.cl"/>
    <m/>
    <m/>
    <m/>
  </r>
  <r>
    <n v="64"/>
    <s v="AIR SAFETY COMPANY"/>
    <s v="EN GESTIÓN"/>
    <s v="-"/>
    <s v="-"/>
    <m/>
    <x v="2"/>
    <m/>
    <s v="RM "/>
    <n v="100000000"/>
    <n v="0.04"/>
    <n v="4000000"/>
    <s v="SIN OTIC"/>
    <n v="2026"/>
    <s v="No Asignado"/>
    <s v="Propuesta Enviada  "/>
    <n v="0"/>
    <n v="-100000000"/>
    <s v="No Aplica"/>
    <s v="Activo"/>
    <s v="Gustavo Rojas "/>
    <s v="gaston.rojas@airsafetycompany.com"/>
    <m/>
    <m/>
    <m/>
  </r>
  <r>
    <n v="65"/>
    <s v="ACHOCLONADOS"/>
    <s v="PROSPECTO"/>
    <s v="-"/>
    <s v="-"/>
    <m/>
    <x v="8"/>
    <m/>
    <s v="RM "/>
    <n v="13000000"/>
    <n v="7.0000000000000007E-2"/>
    <n v="910000.00000000012"/>
    <s v="SIN OTIC"/>
    <n v="2025"/>
    <s v="No Asignado"/>
    <s v="Propuesta Enviada  "/>
    <n v="0"/>
    <n v="-13000000"/>
    <s v="No Aplica"/>
    <s v="Inactivo"/>
    <s v="Valentina Peña"/>
    <s v="valentina.pena@achoclonados.cl"/>
    <m/>
    <m/>
    <m/>
  </r>
  <r>
    <n v="66"/>
    <s v="AeroSan"/>
    <s v="PROSPECTO"/>
    <s v="-"/>
    <s v="-"/>
    <m/>
    <x v="8"/>
    <m/>
    <s v="RM "/>
    <n v="73000000"/>
    <n v="0.04"/>
    <n v="2920000"/>
    <s v="NO INDICA"/>
    <n v="2025"/>
    <s v="No Asignado"/>
    <s v="Propuesta Enviada  "/>
    <n v="0"/>
    <n v="-73000000"/>
    <s v="No Aplica"/>
    <s v="Activo"/>
    <s v="Rodrigo Manqueñir"/>
    <s v="rmanquenirp@aerosan.com"/>
    <m/>
    <m/>
    <m/>
  </r>
  <r>
    <n v="67"/>
    <s v="AGENCIABLANCO"/>
    <s v="PROSPECTO"/>
    <s v="-"/>
    <s v="-"/>
    <m/>
    <x v="8"/>
    <m/>
    <s v="RM "/>
    <n v="2000000"/>
    <n v="0.05"/>
    <n v="100000"/>
    <s v="NO INDICA"/>
    <n v="2025"/>
    <s v="No Asignado"/>
    <s v="Propuesta Enviada  "/>
    <n v="0"/>
    <n v="-2000000"/>
    <s v="No Aplica"/>
    <s v="-"/>
    <s v="-"/>
    <s v="-"/>
    <m/>
    <m/>
    <m/>
  </r>
  <r>
    <n v="68"/>
    <s v="AgroSonda"/>
    <s v="PROSPECTO"/>
    <s v="-"/>
    <s v="-"/>
    <m/>
    <x v="8"/>
    <m/>
    <s v="RM "/>
    <n v="120000000"/>
    <n v="7.0000000000000007E-2"/>
    <n v="8400000"/>
    <s v="NO INDICA"/>
    <n v="2025"/>
    <s v="No Asignado"/>
    <s v="Propuesta Enviada  "/>
    <n v="0"/>
    <n v="-120000000"/>
    <s v="No Aplica"/>
    <s v="Activo"/>
    <s v="Pablo Jabalquinto"/>
    <s v="pjabalquinto@agrosonda.cl"/>
    <m/>
    <m/>
    <m/>
  </r>
  <r>
    <n v="69"/>
    <s v="AGROSUPER"/>
    <s v="PROSPECTO"/>
    <s v="-"/>
    <s v="-"/>
    <m/>
    <x v="8"/>
    <m/>
    <s v="RM "/>
    <n v="0"/>
    <m/>
    <n v="0"/>
    <s v="NO INDICA"/>
    <n v="2025"/>
    <s v="No Asignado"/>
    <s v="Propuesta Enviada  "/>
    <n v="0"/>
    <n v="0"/>
    <s v="No Aplica"/>
    <s v="Activo"/>
    <s v="Bernardita Romero"/>
    <s v="bromero@agrosuper.cl"/>
    <m/>
    <m/>
    <m/>
  </r>
  <r>
    <n v="70"/>
    <s v="AMBIENTAL Y SECTORIAL"/>
    <s v="PROSPECTO"/>
    <s v="-"/>
    <s v="-"/>
    <m/>
    <x v="8"/>
    <m/>
    <s v="RM "/>
    <n v="10000000"/>
    <n v="0.12"/>
    <n v="1200000"/>
    <s v="NO INDICA"/>
    <n v="2025"/>
    <s v="No Asignado"/>
    <s v="Propuesta Enviada  "/>
    <n v="0"/>
    <n v="-10000000"/>
    <s v="No Aplica"/>
    <s v="-"/>
    <s v="-"/>
    <s v="-"/>
    <m/>
    <m/>
    <m/>
  </r>
  <r>
    <n v="71"/>
    <s v="Amphos 21"/>
    <s v="PROSPECTO"/>
    <s v="-"/>
    <s v="-"/>
    <m/>
    <x v="8"/>
    <m/>
    <s v="RM "/>
    <n v="30000000"/>
    <n v="0.05"/>
    <n v="1500000"/>
    <s v="NO INDICA"/>
    <n v="2025"/>
    <s v="No Asignado"/>
    <s v="Propuesta Enviada  "/>
    <n v="0"/>
    <n v="-30000000"/>
    <s v="No Aplica"/>
    <s v="Activo"/>
    <s v="Katherine Lecaros"/>
    <s v="katherine.lecaros@amphos21.com"/>
    <m/>
    <m/>
    <m/>
  </r>
  <r>
    <n v="72"/>
    <s v="ATCO Sabinco"/>
    <s v="PROSPECTO"/>
    <s v="-"/>
    <s v="-"/>
    <m/>
    <x v="8"/>
    <m/>
    <s v="RM "/>
    <n v="80000000"/>
    <n v="0.05"/>
    <n v="4000000"/>
    <s v="SIN OTIC"/>
    <n v="2025"/>
    <s v="No Asignado"/>
    <s v="Propuesta Enviada  "/>
    <n v="0"/>
    <n v="-80000000"/>
    <s v="No Aplica"/>
    <s v="Activo"/>
    <s v="Luisana Sandoval"/>
    <s v="lsandoval@atcosabinco.com"/>
    <m/>
    <m/>
    <m/>
  </r>
  <r>
    <n v="73"/>
    <s v="BITUMIX"/>
    <s v="PROSPECTO"/>
    <s v="-"/>
    <s v="-"/>
    <m/>
    <x v="8"/>
    <m/>
    <s v="RM "/>
    <n v="120000000"/>
    <n v="0.15"/>
    <n v="18000000"/>
    <s v="NO INDICA"/>
    <n v="2025"/>
    <s v="No Asignado"/>
    <s v="Propuesta Enviada  "/>
    <n v="0"/>
    <n v="-120000000"/>
    <s v="No Aplica"/>
    <s v="Activo"/>
    <s v="Susana Barros"/>
    <s v="susana.barros@bitumix.cl"/>
    <m/>
    <m/>
    <m/>
  </r>
  <r>
    <n v="74"/>
    <s v="Cafexpress"/>
    <s v="PROSPECTO"/>
    <s v="-"/>
    <s v="-"/>
    <m/>
    <x v="8"/>
    <m/>
    <s v="RM "/>
    <n v="7525364"/>
    <n v="0.06"/>
    <n v="451521.83999999997"/>
    <s v="NO INDICA"/>
    <n v="2025"/>
    <s v="No Asignado"/>
    <s v="Propuesta Enviada  "/>
    <n v="0"/>
    <n v="-7525364"/>
    <s v="No Aplica"/>
    <s v="-"/>
    <s v="-"/>
    <s v="-"/>
    <m/>
    <m/>
    <m/>
  </r>
  <r>
    <n v="75"/>
    <s v="Canal 13"/>
    <s v="PROSPECTO"/>
    <s v="-"/>
    <s v="-"/>
    <m/>
    <x v="8"/>
    <m/>
    <s v="RM "/>
    <n v="20000000"/>
    <n v="0.08"/>
    <n v="1600000"/>
    <s v="SIN OTIC"/>
    <n v="2025"/>
    <s v="No Asignado"/>
    <s v="Propuesta Enviada  "/>
    <n v="0"/>
    <n v="-20000000"/>
    <s v="No Aplica"/>
    <s v="Activo"/>
    <s v="Cristobal Osorio"/>
    <s v="cosorio@13.cl"/>
    <m/>
    <m/>
    <m/>
  </r>
  <r>
    <n v="76"/>
    <s v="CANAL13 2026"/>
    <s v="PROSPECTO"/>
    <s v="-"/>
    <s v="-"/>
    <m/>
    <x v="8"/>
    <m/>
    <s v="RM "/>
    <n v="20000000"/>
    <n v="7.0000000000000007E-2"/>
    <n v="1400000.0000000002"/>
    <s v="BANOTIC"/>
    <n v="2025"/>
    <s v="No Asignado"/>
    <s v="Propuesta Enviada  "/>
    <n v="0"/>
    <n v="-20000000"/>
    <s v="No Aplica"/>
    <s v="-"/>
    <s v="-"/>
    <s v="-"/>
    <m/>
    <m/>
    <m/>
  </r>
  <r>
    <n v="77"/>
    <s v="CLINICA TEERE"/>
    <s v="PROSPECTO"/>
    <s v="-"/>
    <s v="-"/>
    <m/>
    <x v="8"/>
    <m/>
    <s v="RM "/>
    <n v="13000000"/>
    <n v="0.13"/>
    <n v="1690000"/>
    <s v="SIN OTIC"/>
    <n v="2025"/>
    <s v="No Asignado"/>
    <s v="Propuesta Enviada  "/>
    <n v="0"/>
    <n v="-13000000"/>
    <s v="No Aplica"/>
    <s v="Activo"/>
    <s v="Paulina Oteiza"/>
    <s v="poteiza@clinicaterre.cl"/>
    <m/>
    <m/>
    <m/>
  </r>
  <r>
    <n v="78"/>
    <s v="CLUB DEPORTIVO MANQUEHUE"/>
    <s v="PROSPECTO"/>
    <s v="-"/>
    <s v="-"/>
    <m/>
    <x v="8"/>
    <m/>
    <s v="RM "/>
    <n v="38000000"/>
    <n v="0.06"/>
    <n v="2280000"/>
    <s v="NO INDICA"/>
    <n v="2025"/>
    <s v="No Asignado"/>
    <s v="Propuesta Enviada  "/>
    <n v="0"/>
    <n v="-38000000"/>
    <s v="No Aplica"/>
    <s v="Activo"/>
    <s v="Loreto Verdugo"/>
    <s v="lverdugo@clubmanquehue.cl"/>
    <m/>
    <m/>
    <m/>
  </r>
  <r>
    <n v="79"/>
    <s v="COLEGIO PILLIPPE COUSTEAU DE LA FLORIDA"/>
    <s v="PROSPECTO"/>
    <s v="-"/>
    <s v="-"/>
    <m/>
    <x v="8"/>
    <m/>
    <s v="RM "/>
    <n v="10300000"/>
    <n v="0.12"/>
    <n v="1236000"/>
    <s v="NO INDICA"/>
    <n v="2025"/>
    <s v="No Asignado"/>
    <s v="Propuesta Enviada  "/>
    <n v="0"/>
    <n v="-10300000"/>
    <s v="No Aplica"/>
    <s v="Activo"/>
    <s v="Christian"/>
    <s v="admicolegio@gmail.com"/>
    <m/>
    <m/>
    <m/>
  </r>
  <r>
    <n v="80"/>
    <s v="Colegio San Ignacio"/>
    <s v="PROSPECTO"/>
    <s v="-"/>
    <s v="-"/>
    <m/>
    <x v="8"/>
    <m/>
    <s v="RM "/>
    <n v="77000000"/>
    <n v="0.05"/>
    <n v="3850000"/>
    <s v="NO INDICA"/>
    <n v="2025"/>
    <s v="No Asignado"/>
    <s v="Propuesta Enviada  "/>
    <n v="0"/>
    <n v="-77000000"/>
    <s v="No Aplica"/>
    <s v="Activo"/>
    <s v="Pia Coppa"/>
    <s v="pia.coppa@csi.cl"/>
    <m/>
    <m/>
    <m/>
  </r>
  <r>
    <n v="81"/>
    <s v="CONFUTURO "/>
    <s v="PROSPECTO"/>
    <s v="-"/>
    <s v="-"/>
    <m/>
    <x v="8"/>
    <m/>
    <s v="RM "/>
    <n v="125000000"/>
    <n v="0.02"/>
    <n v="2500000"/>
    <s v="CChC"/>
    <n v="2025"/>
    <s v="No Asignado"/>
    <s v="Propuesta Enviada  "/>
    <n v="0"/>
    <n v="-125000000"/>
    <s v="No Aplica"/>
    <s v="Activo"/>
    <s v="Cristian Silva"/>
    <s v="csilvas@confuturo.cl"/>
    <m/>
    <m/>
    <m/>
  </r>
  <r>
    <n v="82"/>
    <s v="CORPORACION PARA EL DESARROLLO DE SANTIAGO"/>
    <s v="PROSPECTO"/>
    <s v="-"/>
    <s v="-"/>
    <m/>
    <x v="8"/>
    <m/>
    <s v="RM "/>
    <n v="20000000"/>
    <n v="0.125"/>
    <n v="2500000"/>
    <s v="NO INDICA"/>
    <n v="2025"/>
    <s v="No Asignado"/>
    <s v="Propuesta Enviada  "/>
    <n v="0"/>
    <n v="-20000000"/>
    <s v="No Aplica"/>
    <s v="-"/>
    <s v="-"/>
    <s v="-"/>
    <m/>
    <m/>
    <m/>
  </r>
  <r>
    <n v="83"/>
    <s v="CUMPLO"/>
    <s v="PROSPECTO"/>
    <s v="-"/>
    <s v="-"/>
    <m/>
    <x v="8"/>
    <m/>
    <s v="RM "/>
    <n v="20000000"/>
    <n v="0.1"/>
    <n v="2000000"/>
    <s v="NO INDICA"/>
    <n v="2025"/>
    <s v="No Asignado"/>
    <s v="Propuesta Enviada  "/>
    <n v="0"/>
    <n v="-20000000"/>
    <s v="No Aplica"/>
    <s v="Activo"/>
    <s v="Carolina Armstrong"/>
    <s v="carolina.armstrong@cumplo.com"/>
    <m/>
    <m/>
    <m/>
  </r>
  <r>
    <n v="84"/>
    <s v="Decathlon"/>
    <s v="PROSPECTO"/>
    <s v="-"/>
    <s v="-"/>
    <m/>
    <x v="8"/>
    <m/>
    <s v="RM "/>
    <n v="84000000"/>
    <n v="0.04"/>
    <n v="3360000"/>
    <s v="NO INDICA"/>
    <n v="2025"/>
    <s v="No Asignado"/>
    <s v="Propuesta Enviada  "/>
    <n v="0"/>
    <n v="-84000000"/>
    <s v="No Aplica"/>
    <s v="Activo"/>
    <s v="Rodrigo Cazanga"/>
    <s v="Rodrigo.cazanga@decathlon.com"/>
    <m/>
    <m/>
    <m/>
  </r>
  <r>
    <n v="85"/>
    <s v="DIMACOFI "/>
    <s v="PROSPECTO"/>
    <s v="-"/>
    <s v="-"/>
    <m/>
    <x v="8"/>
    <m/>
    <s v="RM "/>
    <n v="40000000"/>
    <n v="0.06"/>
    <n v="2400000"/>
    <s v="NO INDICA"/>
    <n v="2025"/>
    <s v="No Asignado"/>
    <s v="Propuesta Enviada  "/>
    <n v="0"/>
    <n v="-40000000"/>
    <s v="No Aplica"/>
    <s v="Activo"/>
    <s v="Gabriela Barrios"/>
    <s v="gbarrios@dimacofi.cl"/>
    <m/>
    <m/>
    <m/>
  </r>
  <r>
    <n v="86"/>
    <s v="DPG CHILE "/>
    <s v="PROSPECTO"/>
    <s v="-"/>
    <s v="-"/>
    <m/>
    <x v="8"/>
    <m/>
    <s v="RM "/>
    <n v="19000000"/>
    <n v="4.4999999999999998E-2"/>
    <n v="855000"/>
    <s v="SIN OTIC"/>
    <n v="2025"/>
    <s v="No Asignado"/>
    <s v="Propuesta Enviada  "/>
    <n v="0"/>
    <n v="-19000000"/>
    <s v="No Aplica"/>
    <s v="Activo"/>
    <s v="Kevin Dominguez"/>
    <s v="kdominguez@dpgchile.cl"/>
    <m/>
    <m/>
    <m/>
  </r>
  <r>
    <n v="87"/>
    <s v="EDUDOWN - (A la Huerta de la Esquina)"/>
    <s v="PROSPECTO"/>
    <s v="-"/>
    <s v="-"/>
    <m/>
    <x v="8"/>
    <m/>
    <s v="RM "/>
    <n v="1940000"/>
    <n v="0.13"/>
    <n v="252200"/>
    <s v="NO INDICA"/>
    <n v="2025"/>
    <s v="No Asignado"/>
    <s v="Propuesta Enviada  "/>
    <n v="0"/>
    <n v="-1940000"/>
    <s v="No Aplica"/>
    <s v="Activo"/>
    <s v="Barbara Martinez"/>
    <s v="barbaramartinez@edudown.cl"/>
    <m/>
    <m/>
    <m/>
  </r>
  <r>
    <n v="88"/>
    <s v="ENERFROST"/>
    <s v="PROSPECTO"/>
    <s v="-"/>
    <s v="-"/>
    <m/>
    <x v="8"/>
    <m/>
    <s v="RM "/>
    <n v="9700000"/>
    <n v="0.1"/>
    <n v="970000"/>
    <s v="NO INDICA"/>
    <n v="2025"/>
    <s v="No Asignado"/>
    <s v="Propuesta Enviada  "/>
    <n v="0"/>
    <n v="-9700000"/>
    <s v="No Aplica"/>
    <s v="Activo"/>
    <s v="Fanny Arriagada"/>
    <s v="fanny.arriagada@enerfrost.com"/>
    <m/>
    <m/>
    <m/>
  </r>
  <r>
    <n v="89"/>
    <s v="Equifax"/>
    <s v="PROSPECTO"/>
    <s v="-"/>
    <s v="-"/>
    <m/>
    <x v="8"/>
    <m/>
    <s v="RM "/>
    <n v="105000000"/>
    <n v="0.05"/>
    <n v="5250000"/>
    <s v="NO INDICA"/>
    <n v="2025"/>
    <s v="No Asignado"/>
    <s v="Propuesta Enviada  "/>
    <n v="0"/>
    <n v="-105000000"/>
    <s v="No Aplica"/>
    <s v="Inactivo"/>
    <s v="Andres Pinchart"/>
    <s v="andres.pinchart@equifax.com"/>
    <m/>
    <m/>
    <m/>
  </r>
  <r>
    <n v="90"/>
    <s v="F&amp;L ingeniería"/>
    <s v="PROSPECTO"/>
    <s v="-"/>
    <s v="-"/>
    <m/>
    <x v="8"/>
    <m/>
    <s v="RM "/>
    <n v="0"/>
    <m/>
    <n v="0"/>
    <s v="NO INDICA"/>
    <n v="2025"/>
    <s v="No Asignado"/>
    <s v="Propuesta Enviada  "/>
    <n v="0"/>
    <n v="0"/>
    <s v="No Aplica"/>
    <s v="Activo"/>
    <s v="Cristóbal Morales"/>
    <s v="cmoralesp@fylingenieria.cl"/>
    <m/>
    <m/>
    <m/>
  </r>
  <r>
    <n v="91"/>
    <s v="F. COANIL"/>
    <s v="PROSPECTO"/>
    <s v="-"/>
    <s v="-"/>
    <s v="EVENTO IA "/>
    <x v="8"/>
    <s v="Si"/>
    <s v="RM "/>
    <n v="120000000"/>
    <m/>
    <n v="0"/>
    <s v="NO INDICA"/>
    <n v="2025"/>
    <s v="No Asignado"/>
    <s v="Propuesta Enviada  "/>
    <n v="0"/>
    <n v="-120000000"/>
    <s v="No Aplica"/>
    <s v="Activo"/>
    <s v="Francisca Anabalon"/>
    <s v="francisca.anabalon@coanil.cl"/>
    <m/>
    <m/>
    <m/>
  </r>
  <r>
    <n v="92"/>
    <s v="FUNDACIÓN COANIQUEM"/>
    <s v="PROSPECTO"/>
    <s v="-"/>
    <s v="-"/>
    <s v="EVENTO DISNEY"/>
    <x v="8"/>
    <m/>
    <s v="RM "/>
    <n v="20000000"/>
    <n v="0.05"/>
    <n v="1000000"/>
    <s v="NO INDICA"/>
    <n v="2025"/>
    <s v="No Asignado"/>
    <s v="Propuesta Enviada  "/>
    <n v="0"/>
    <n v="-20000000"/>
    <s v="No Aplica"/>
    <s v="Activo"/>
    <s v="Nicolle Campos, Francisca Anabalon "/>
    <s v="ncampos@coaniquem.org ;francisca.anabalon@coanil.cl"/>
    <m/>
    <m/>
    <m/>
  </r>
  <r>
    <n v="93"/>
    <s v="Fundación Portas"/>
    <s v="PROSPECTO"/>
    <s v="-"/>
    <s v="-"/>
    <m/>
    <x v="8"/>
    <m/>
    <s v="RM "/>
    <n v="8000000"/>
    <n v="0.15"/>
    <n v="1200000"/>
    <s v="NO INDICA"/>
    <n v="2025"/>
    <s v="No Asignado"/>
    <s v="Propuesta Enviada  "/>
    <n v="0"/>
    <n v="-8000000"/>
    <s v="No Aplica"/>
    <s v="Activo"/>
    <s v="María de los Angeles"/>
    <s v="mcardenas@fundacionportas.cl"/>
    <m/>
    <m/>
    <m/>
  </r>
  <r>
    <n v="94"/>
    <s v="Fundición las rosas"/>
    <s v="PROSPECTO"/>
    <s v="-"/>
    <s v="-"/>
    <m/>
    <x v="8"/>
    <m/>
    <s v="RM "/>
    <n v="2000000"/>
    <n v="0.15"/>
    <n v="300000"/>
    <s v="SIN OTIC"/>
    <n v="2025"/>
    <s v="No Asignado"/>
    <s v="Propuesta Enviada  "/>
    <n v="0"/>
    <n v="-2000000"/>
    <s v="No Aplica"/>
    <s v="Activo"/>
    <s v="Francisco Bollo"/>
    <s v="fbollo@fundicionlasrosas.cl"/>
    <m/>
    <m/>
    <m/>
  </r>
  <r>
    <n v="95"/>
    <s v="GEOINNOVA"/>
    <s v="PROSPECTO"/>
    <s v="-"/>
    <s v="-"/>
    <m/>
    <x v="8"/>
    <m/>
    <s v="RM "/>
    <n v="8900000"/>
    <n v="0.08"/>
    <n v="712000"/>
    <s v="NO INDICA"/>
    <n v="2025"/>
    <s v="No Asignado"/>
    <s v="Propuesta Enviada  "/>
    <n v="0"/>
    <n v="-8900000"/>
    <s v="No Aplica"/>
    <s v="Activo"/>
    <s v="Francis Muñoz"/>
    <s v="fmunoz@geoinnova.cl"/>
    <m/>
    <m/>
    <m/>
  </r>
  <r>
    <n v="96"/>
    <s v="GEVIAL"/>
    <s v="PROSPECTO"/>
    <s v="-"/>
    <s v="-"/>
    <m/>
    <x v="8"/>
    <m/>
    <s v="RM "/>
    <n v="0"/>
    <n v="7.0000000000000007E-2"/>
    <n v="0"/>
    <s v="NO INDICA"/>
    <n v="2025"/>
    <s v="No Asignado"/>
    <s v="Propuesta Enviada  "/>
    <n v="0"/>
    <n v="0"/>
    <s v="No Aplica"/>
    <s v="Activo"/>
    <s v="Amelia Caris // Juan Araya"/>
    <s v="acaris@gevial.cl; jaraya@gevial.cl"/>
    <m/>
    <m/>
    <m/>
  </r>
  <r>
    <n v="97"/>
    <s v="GROWING"/>
    <s v="PROSPECTO"/>
    <s v="-"/>
    <s v="-"/>
    <m/>
    <x v="8"/>
    <m/>
    <s v="RM "/>
    <n v="50000000"/>
    <n v="0.04"/>
    <n v="2000000"/>
    <s v="NO INDICA"/>
    <n v="2025"/>
    <s v="No Asignado"/>
    <s v="Propuesta Enviada  "/>
    <n v="0"/>
    <n v="-50000000"/>
    <s v="No Aplica"/>
    <s v="Activo"/>
    <s v="Pamela Armijo"/>
    <s v="parmijo@growing.cl"/>
    <m/>
    <m/>
    <m/>
  </r>
  <r>
    <n v="98"/>
    <s v="GXO"/>
    <s v="PROSPECTO"/>
    <s v="-"/>
    <s v="-"/>
    <m/>
    <x v="8"/>
    <m/>
    <s v="RM "/>
    <n v="6600000"/>
    <n v="7.0000000000000007E-2"/>
    <n v="462000.00000000006"/>
    <s v="NO INDICA"/>
    <n v="2025"/>
    <s v="No Asignado"/>
    <s v="Propuesta Enviada  "/>
    <n v="0"/>
    <n v="-6600000"/>
    <s v="No Aplica"/>
    <s v="Activo"/>
    <s v="Varios"/>
    <s v="aaron.lopez@gxo.com, pedro.caballero@gxo.com, alejandro.perez004@gxo.com"/>
    <m/>
    <m/>
    <m/>
  </r>
  <r>
    <n v="99"/>
    <s v="HOME MOBILI"/>
    <s v="PROSPECTO"/>
    <s v="-"/>
    <s v="-"/>
    <m/>
    <x v="8"/>
    <m/>
    <s v="RM "/>
    <n v="5500000"/>
    <n v="0.1"/>
    <n v="550000"/>
    <s v="NO INDICA"/>
    <n v="2025"/>
    <s v="No Asignado"/>
    <s v="Propuesta Enviada  "/>
    <n v="0"/>
    <n v="-5500000"/>
    <s v="No Aplica"/>
    <s v="Activo"/>
    <s v="Manuel Martin / José Zapata"/>
    <s v="mmartin@homemobili.cl ;jzapata@homemobili.cl"/>
    <m/>
    <m/>
    <m/>
  </r>
  <r>
    <n v="100"/>
    <s v="Huevos Los Alemanes"/>
    <s v="PROSPECTO"/>
    <s v="-"/>
    <s v="-"/>
    <m/>
    <x v="8"/>
    <m/>
    <s v="RM "/>
    <n v="13000000"/>
    <n v="0.12"/>
    <n v="1560000"/>
    <s v="NO INDICA"/>
    <n v="2025"/>
    <s v="No Asignado"/>
    <s v="Propuesta Enviada  "/>
    <n v="0"/>
    <n v="-13000000"/>
    <s v="No Aplica"/>
    <s v="Activo"/>
    <s v="Dania Garrido"/>
    <s v="dgarrido@losalemanes.cl"/>
    <m/>
    <m/>
    <m/>
  </r>
  <r>
    <n v="101"/>
    <s v="IDS (INDEPENDENT DRILLING SUPPLIES)"/>
    <s v="PROSPECTO"/>
    <s v="-"/>
    <s v="-"/>
    <m/>
    <x v="8"/>
    <m/>
    <s v="RM "/>
    <n v="11000000"/>
    <n v="0.1"/>
    <n v="1100000"/>
    <s v="NO INDICA"/>
    <n v="2025"/>
    <s v="No Asignado"/>
    <s v="Propuesta Enviada  "/>
    <n v="0"/>
    <n v="-11000000"/>
    <s v="No Aplica"/>
    <s v="Activo"/>
    <s v="Isadora Gallardo Aguilera (Externa)"/>
    <s v="isadorag@adsesorame.cl"/>
    <m/>
    <m/>
    <m/>
  </r>
  <r>
    <n v="102"/>
    <s v="IMELSA"/>
    <s v="PROSPECTO"/>
    <s v="-"/>
    <s v="-"/>
    <m/>
    <x v="8"/>
    <m/>
    <s v="RM "/>
    <n v="10000000"/>
    <n v="0.12"/>
    <n v="1200000"/>
    <s v="NO INDICA"/>
    <n v="2025"/>
    <s v="No Asignado"/>
    <s v="Propuesta Enviada  "/>
    <n v="0"/>
    <n v="-10000000"/>
    <s v="No Aplica"/>
    <s v="Activo"/>
    <s v="Edison Flores"/>
    <s v="edison.flores@imelsa.cl"/>
    <m/>
    <m/>
    <m/>
  </r>
  <r>
    <n v="103"/>
    <s v="ING. Y SERVICIOS PROPAMAT"/>
    <s v="PROSPECTO"/>
    <s v="-"/>
    <s v="-"/>
    <m/>
    <x v="8"/>
    <m/>
    <s v="RM "/>
    <n v="40000000"/>
    <n v="0.1"/>
    <n v="4000000"/>
    <s v="NO INDICA"/>
    <n v="2025"/>
    <s v="No Asignado"/>
    <s v="Propuesta Enviada  "/>
    <n v="0"/>
    <n v="-40000000"/>
    <s v="No Aplica"/>
    <s v="-"/>
    <s v="-"/>
    <s v="-"/>
    <m/>
    <m/>
    <m/>
  </r>
  <r>
    <n v="104"/>
    <s v="INGESAT"/>
    <s v="PROSPECTO"/>
    <s v="-"/>
    <s v="-"/>
    <m/>
    <x v="8"/>
    <m/>
    <s v="RM "/>
    <n v="15000000"/>
    <n v="7.0000000000000007E-2"/>
    <n v="1050000"/>
    <s v="NO INDICA"/>
    <n v="2025"/>
    <s v="No Asignado"/>
    <s v="Propuesta Enviada  "/>
    <n v="0"/>
    <n v="-15000000"/>
    <s v="No Aplica"/>
    <s v="Activo"/>
    <s v="Cristopher Munoz"/>
    <s v="cristopher.munoz@ingesat.cl"/>
    <m/>
    <m/>
    <m/>
  </r>
  <r>
    <n v="105"/>
    <s v="INVINSA"/>
    <s v="PROSPECTO"/>
    <s v="-"/>
    <s v="-"/>
    <m/>
    <x v="8"/>
    <m/>
    <s v="RM "/>
    <n v="0"/>
    <n v="0.05"/>
    <n v="0"/>
    <s v="NO INDICA"/>
    <n v="2025"/>
    <s v="No Asignado"/>
    <s v="Propuesta Enviada  "/>
    <n v="0"/>
    <n v="0"/>
    <s v="No Aplica"/>
    <s v="Activo"/>
    <s v="Paula Barrios"/>
    <s v="pbarrios@invinsa.cl"/>
    <m/>
    <m/>
    <m/>
  </r>
  <r>
    <n v="106"/>
    <s v="ISDIN"/>
    <s v="PROSPECTO"/>
    <s v="-"/>
    <s v="-"/>
    <s v="EVENTO IA "/>
    <x v="8"/>
    <s v="Si"/>
    <s v="RM "/>
    <n v="14932428"/>
    <n v="0.08"/>
    <n v="1194594.24"/>
    <s v="NO INDICA"/>
    <n v="2025"/>
    <s v="No Asignado"/>
    <s v="Propuesta Enviada  "/>
    <n v="0"/>
    <n v="-14932428"/>
    <s v="No Aplica"/>
    <s v="Activo"/>
    <s v="Estefanía Cerna"/>
    <s v="Estefania.cerna@isdin.com"/>
    <m/>
    <m/>
    <m/>
  </r>
  <r>
    <n v="107"/>
    <s v="JUST BURGER"/>
    <s v="PROSPECTO"/>
    <s v="-"/>
    <s v="-"/>
    <m/>
    <x v="8"/>
    <m/>
    <s v="RM "/>
    <n v="0"/>
    <m/>
    <n v="0"/>
    <s v="NO INDICA"/>
    <n v="2025"/>
    <s v="No Asignado"/>
    <s v="Propuesta Enviada  "/>
    <n v="0"/>
    <n v="0"/>
    <s v="No Aplica"/>
    <s v="Activo"/>
    <s v="Miguel Irala"/>
    <s v="miguel.irala@justburger.com"/>
    <m/>
    <m/>
    <m/>
  </r>
  <r>
    <n v="108"/>
    <s v="LK tecnologia"/>
    <s v="PROSPECTO"/>
    <s v="-"/>
    <s v="-"/>
    <m/>
    <x v="8"/>
    <m/>
    <s v="RM "/>
    <n v="9000000"/>
    <n v="0.1"/>
    <n v="900000"/>
    <s v="NO INDICA"/>
    <n v="2025"/>
    <s v="No Asignado"/>
    <s v="Propuesta Enviada  "/>
    <n v="0"/>
    <n v="-9000000"/>
    <s v="No Aplica"/>
    <s v="Activo"/>
    <s v="Valentina Pavez"/>
    <s v="valentina@lk.cl"/>
    <m/>
    <m/>
    <m/>
  </r>
  <r>
    <n v="109"/>
    <s v="MACLIDER"/>
    <s v="PROSPECTO"/>
    <s v="-"/>
    <s v="-"/>
    <m/>
    <x v="8"/>
    <m/>
    <s v="RM "/>
    <n v="3700000"/>
    <n v="0.15"/>
    <n v="555000"/>
    <s v="SIN OTIC"/>
    <n v="2025"/>
    <s v="No Asignado"/>
    <s v="Propuesta Enviada  "/>
    <n v="0"/>
    <n v="-3700000"/>
    <s v="No Aplica"/>
    <s v="Activo"/>
    <s v="Solange Naranjo "/>
    <s v="solange.naranjo@maclider.cl"/>
    <m/>
    <m/>
    <m/>
  </r>
  <r>
    <n v="110"/>
    <s v="MetalMac"/>
    <s v="PROSPECTO"/>
    <s v="-"/>
    <s v="-"/>
    <m/>
    <x v="8"/>
    <m/>
    <s v="RM "/>
    <n v="5000000"/>
    <n v="7.0000000000000007E-2"/>
    <n v="350000.00000000006"/>
    <s v="NO INDICA"/>
    <n v="2025"/>
    <s v="No Asignado"/>
    <s v="Propuesta Enviada  "/>
    <n v="0"/>
    <n v="-5000000"/>
    <s v="No Aplica"/>
    <s v="Activo"/>
    <s v="Alexis Morales"/>
    <s v="asistente@metalmac.net"/>
    <m/>
    <m/>
    <m/>
  </r>
  <r>
    <n v="111"/>
    <s v="METALSHA"/>
    <s v="PROSPECTO"/>
    <s v="-"/>
    <s v="-"/>
    <m/>
    <x v="8"/>
    <m/>
    <s v="RM "/>
    <n v="8000000"/>
    <n v="0.09"/>
    <n v="720000"/>
    <s v="SIN OTIC"/>
    <n v="2025"/>
    <s v="No Asignado"/>
    <s v="Propuesta Enviada  "/>
    <n v="0"/>
    <n v="-8000000"/>
    <s v="No Aplica"/>
    <s v="Activo"/>
    <s v="Hector y Alejandro"/>
    <s v="prevencionista1@metalhsa.cl"/>
    <m/>
    <m/>
    <m/>
  </r>
  <r>
    <n v="112"/>
    <s v="METROPOL"/>
    <s v="PROSPECTO"/>
    <s v="-"/>
    <s v="-"/>
    <m/>
    <x v="8"/>
    <m/>
    <s v="RM "/>
    <n v="260000000"/>
    <n v="0.09"/>
    <n v="23400000"/>
    <s v="NO INDICA"/>
    <n v="2025"/>
    <s v="No Asignado"/>
    <s v="Propuesta Enviada  "/>
    <n v="0"/>
    <n v="-260000000"/>
    <s v="No Aplica"/>
    <s v="Inactivo"/>
    <s v="Claudia Pinilla"/>
    <s v="cpinilla@grupometropol.cl"/>
    <m/>
    <m/>
    <m/>
  </r>
  <r>
    <n v="113"/>
    <s v="MI TANI "/>
    <s v="PROSPECTO"/>
    <s v="-"/>
    <s v="-"/>
    <m/>
    <x v="8"/>
    <m/>
    <s v="RM "/>
    <n v="1900000"/>
    <n v="0.15"/>
    <n v="285000"/>
    <s v="NO INDICA"/>
    <n v="2025"/>
    <s v="No Asignado"/>
    <s v="Propuesta Enviada  "/>
    <n v="0"/>
    <n v="-1900000"/>
    <s v="No Aplica"/>
    <s v="Activo"/>
    <s v="Recursos Humanos"/>
    <s v="rrhh@mitani.cl"/>
    <m/>
    <m/>
    <m/>
  </r>
  <r>
    <n v="114"/>
    <s v="MINERAL DRILLING"/>
    <s v="PROSPECTO"/>
    <s v="-"/>
    <s v="-"/>
    <m/>
    <x v="8"/>
    <m/>
    <s v="RM "/>
    <n v="40000000"/>
    <n v="7.0000000000000007E-2"/>
    <n v="2800000.0000000005"/>
    <s v="SIN OTIC"/>
    <n v="2025"/>
    <s v="No Asignado"/>
    <s v="Propuesta Enviada  "/>
    <n v="0"/>
    <n v="-40000000"/>
    <s v="No Aplica"/>
    <s v="Activo"/>
    <s v="Alejandra Espinoza"/>
    <s v="alejandra.espinoza@mineraldrilling.com"/>
    <m/>
    <m/>
    <m/>
  </r>
  <r>
    <n v="115"/>
    <s v="NEBULAN "/>
    <s v="PROSPECTO"/>
    <s v="-"/>
    <s v="-"/>
    <m/>
    <x v="8"/>
    <m/>
    <s v="RM "/>
    <n v="15000000"/>
    <n v="0.12"/>
    <n v="1800000"/>
    <s v="CChC"/>
    <n v="2025"/>
    <s v="No Asignado"/>
    <s v="Propuesta Enviada  "/>
    <n v="0"/>
    <n v="-15000000"/>
    <s v="No Aplica"/>
    <s v="Activo"/>
    <s v="Daniela Gonzalez"/>
    <s v="daniela.gonzalez@nebulan.com"/>
    <m/>
    <m/>
    <m/>
  </r>
  <r>
    <n v="116"/>
    <s v="NETAXION"/>
    <s v="PROSPECTO"/>
    <s v="-"/>
    <s v="-"/>
    <m/>
    <x v="8"/>
    <m/>
    <s v="RM "/>
    <n v="0"/>
    <n v="0.05"/>
    <n v="0"/>
    <s v="NO INDICA"/>
    <n v="2025"/>
    <s v="No Asignado"/>
    <s v="Propuesta Enviada  "/>
    <n v="0"/>
    <n v="0"/>
    <s v="No Aplica"/>
    <s v="Inactivo"/>
    <s v="Melissa Testa"/>
    <s v="mtesta@netaxion.net"/>
    <m/>
    <m/>
    <m/>
  </r>
  <r>
    <n v="117"/>
    <s v="NIU SUSHI"/>
    <s v="PROSPECTO"/>
    <s v="-"/>
    <s v="-"/>
    <m/>
    <x v="8"/>
    <m/>
    <s v="RM "/>
    <n v="0"/>
    <m/>
    <n v="0"/>
    <s v="SIN OTIC"/>
    <n v="2025"/>
    <s v="No Asignado"/>
    <s v="Propuesta Enviada  "/>
    <n v="0"/>
    <n v="0"/>
    <s v="No Aplica"/>
    <s v="Activo"/>
    <s v="Daniel Salazar"/>
    <s v="daniel.salazar@niusushi.cl // giovanni.munoz@niusushi.cl"/>
    <m/>
    <m/>
    <m/>
  </r>
  <r>
    <n v="118"/>
    <s v="ORICA"/>
    <s v="PROSPECTO"/>
    <s v="-"/>
    <s v="-"/>
    <m/>
    <x v="8"/>
    <m/>
    <s v="Norte 1"/>
    <n v="0"/>
    <n v="0.05"/>
    <n v="0"/>
    <s v="NO INDICA"/>
    <n v="2025"/>
    <s v="No Asignado"/>
    <s v="Propuesta Enviada  "/>
    <n v="0"/>
    <n v="0"/>
    <s v="No Aplica"/>
    <s v="Activo"/>
    <s v="Jorge Maldonado"/>
    <s v="jorge.maldonado@orica.com"/>
    <m/>
    <m/>
    <m/>
  </r>
  <r>
    <n v="119"/>
    <s v="Plan Group"/>
    <s v="PROSPECTO"/>
    <s v="-"/>
    <s v="-"/>
    <m/>
    <x v="8"/>
    <m/>
    <s v="RM "/>
    <n v="25000000"/>
    <n v="7.0000000000000007E-2"/>
    <n v="1750000.0000000002"/>
    <s v="NO INDICA"/>
    <n v="2025"/>
    <s v="No Asignado"/>
    <s v="Propuesta Enviada  "/>
    <n v="0"/>
    <n v="-25000000"/>
    <s v="No Aplica"/>
    <s v="Activo"/>
    <s v="Yohana Sandoval"/>
    <s v="ysandoval@plangroup.cl"/>
    <m/>
    <m/>
    <m/>
  </r>
  <r>
    <n v="120"/>
    <s v="PROGESTIÓN "/>
    <s v="PROSPECTO"/>
    <s v="-"/>
    <s v="-"/>
    <s v="EVENTO DISNEY"/>
    <x v="8"/>
    <m/>
    <s v="RM "/>
    <n v="280000000"/>
    <n v="0.03"/>
    <n v="8400000"/>
    <s v="SOFOFA"/>
    <n v="2025"/>
    <s v="No Asignado"/>
    <s v="Propuesta Enviada  "/>
    <n v="0"/>
    <n v="-280000000"/>
    <s v="No Aplica"/>
    <s v="Activo"/>
    <s v="David Correa "/>
    <s v="david.correa@grupoprogestion.com"/>
    <m/>
    <m/>
    <m/>
  </r>
  <r>
    <n v="121"/>
    <s v="RECOVER"/>
    <s v="PROSPECTO"/>
    <s v="-"/>
    <s v="-"/>
    <m/>
    <x v="8"/>
    <m/>
    <s v="RM "/>
    <n v="16000000"/>
    <n v="0.08"/>
    <n v="1280000"/>
    <s v="NO INDICA"/>
    <n v="2025"/>
    <s v="No Asignado"/>
    <s v="Propuesta Enviada  "/>
    <n v="0"/>
    <n v="-16000000"/>
    <s v="No Aplica"/>
    <s v="Activo"/>
    <s v="Marlene"/>
    <s v="recepcion@symrecover.cl"/>
    <m/>
    <m/>
    <m/>
  </r>
  <r>
    <n v="122"/>
    <s v="REINSA"/>
    <s v="PROSPECTO"/>
    <s v="-"/>
    <s v="-"/>
    <m/>
    <x v="8"/>
    <m/>
    <s v="RM "/>
    <n v="5800000"/>
    <n v="0.12"/>
    <n v="696000"/>
    <s v="NO INDICA"/>
    <n v="2025"/>
    <s v="No Asignado"/>
    <s v="Propuesta Enviada  "/>
    <n v="0"/>
    <n v="-5800000"/>
    <s v="No Aplica"/>
    <s v="Activo"/>
    <s v="Marcela / Roxana"/>
    <s v="rsoto@reinsa.cl; contabilidad@reinsa.cl"/>
    <m/>
    <m/>
    <m/>
  </r>
  <r>
    <n v="123"/>
    <s v="SACYR"/>
    <s v="PROSPECTO"/>
    <s v="-"/>
    <s v="-"/>
    <m/>
    <x v="8"/>
    <m/>
    <s v="RM "/>
    <n v="350000000"/>
    <n v="0.03"/>
    <n v="10500000"/>
    <s v="CChC"/>
    <n v="2025"/>
    <s v="No Asignado"/>
    <s v="Propuesta Enviada  "/>
    <n v="0"/>
    <n v="-350000000"/>
    <s v="No Aplica"/>
    <s v="Activo"/>
    <s v="Karina Correa"/>
    <s v="kcmartinez@sacyr.com"/>
    <m/>
    <m/>
    <m/>
  </r>
  <r>
    <n v="124"/>
    <s v="SALFA AUTOMOTRIZ"/>
    <s v="PROSPECTO"/>
    <s v="-"/>
    <s v="-"/>
    <m/>
    <x v="8"/>
    <m/>
    <s v="RM "/>
    <n v="470000000"/>
    <n v="0.03"/>
    <n v="14100000"/>
    <s v="NO INDICA"/>
    <n v="2025"/>
    <s v="No Asignado"/>
    <s v="Propuesta Enviada  "/>
    <n v="0"/>
    <n v="-470000000"/>
    <s v="No Aplica"/>
    <s v="Activo"/>
    <s v="Tomas Briceno Montecinos "/>
    <s v="tbricenom@salfa.cl"/>
    <m/>
    <m/>
    <m/>
  </r>
  <r>
    <n v="125"/>
    <s v="SIIGSA"/>
    <s v="PROSPECTO"/>
    <s v="-"/>
    <s v="-"/>
    <m/>
    <x v="8"/>
    <m/>
    <s v="RM "/>
    <n v="7500000"/>
    <n v="0.1"/>
    <n v="750000"/>
    <s v="SIN OTIC"/>
    <n v="2025"/>
    <s v="No Asignado"/>
    <s v="Propuesta Enviada  "/>
    <n v="0"/>
    <n v="-7500000"/>
    <s v="No Aplica"/>
    <s v="Activo"/>
    <s v="Constanza Pacheco"/>
    <s v="cpacheco@siigsa.cl"/>
    <m/>
    <m/>
    <m/>
  </r>
  <r>
    <n v="126"/>
    <s v="SIMPLI"/>
    <s v="PROSPECTO"/>
    <s v="-"/>
    <s v="-"/>
    <m/>
    <x v="8"/>
    <m/>
    <s v="RM "/>
    <n v="24000000"/>
    <n v="0.06"/>
    <n v="1440000"/>
    <s v="SIN OTIC"/>
    <n v="2025"/>
    <s v="No Asignado"/>
    <s v="Propuesta Enviada  "/>
    <n v="0"/>
    <n v="-24000000"/>
    <s v="No Aplica"/>
    <s v="Activo"/>
    <s v="María Fernanda Ubilla"/>
    <s v="mfernanda.ubilla@simplilatam.com"/>
    <m/>
    <m/>
    <m/>
  </r>
  <r>
    <n v="127"/>
    <s v="STRABAG"/>
    <s v="PROSPECTO"/>
    <s v="-"/>
    <s v="-"/>
    <s v="EVENTO IA "/>
    <x v="8"/>
    <s v="Si"/>
    <s v="RM "/>
    <n v="125000000"/>
    <n v="1.7000000000000001E-2"/>
    <n v="2125000"/>
    <s v="NO INDICA"/>
    <n v="2025"/>
    <s v="No Asignado"/>
    <s v="Propuesta Enviada  "/>
    <n v="0"/>
    <n v="-125000000"/>
    <s v="No Aplica"/>
    <s v="Activo"/>
    <s v="Natalia Basualto"/>
    <s v="natalia.basualto@strabag.com"/>
    <m/>
    <m/>
    <m/>
  </r>
  <r>
    <n v="128"/>
    <s v="SURA"/>
    <s v="PROSPECTO"/>
    <s v="-"/>
    <s v="-"/>
    <m/>
    <x v="8"/>
    <m/>
    <s v="RM "/>
    <n v="155000000"/>
    <n v="0.12"/>
    <n v="18600000"/>
    <s v="CChC"/>
    <n v="2025"/>
    <s v="No Asignado"/>
    <s v="Propuesta Enviada  "/>
    <n v="0"/>
    <n v="-155000000"/>
    <s v="No Aplica"/>
    <s v="Activo"/>
    <s v="Gabriela Helman"/>
    <s v="gabriela.helman@surainvestments.com"/>
    <m/>
    <m/>
    <m/>
  </r>
  <r>
    <n v="129"/>
    <s v="Tanner "/>
    <s v="PROSPECTO"/>
    <s v="-"/>
    <s v="-"/>
    <m/>
    <x v="8"/>
    <m/>
    <s v="RM "/>
    <n v="70000000"/>
    <n v="0.06"/>
    <n v="4200000"/>
    <s v="CChC"/>
    <n v="2025"/>
    <s v="No Asignado"/>
    <s v="Propuesta Enviada  "/>
    <n v="0"/>
    <n v="-70000000"/>
    <s v="No Aplica"/>
    <s v="Activo"/>
    <s v="Alfonso Flores "/>
    <s v="alfonso.flores@tanner.cl"/>
    <m/>
    <m/>
    <m/>
  </r>
  <r>
    <n v="130"/>
    <s v="TATA"/>
    <s v="PROSPECTO"/>
    <s v="-"/>
    <s v="-"/>
    <s v="EVENTO IA "/>
    <x v="8"/>
    <s v="Si"/>
    <s v="RM "/>
    <n v="40000000"/>
    <n v="7.0000000000000007E-2"/>
    <n v="2800000.0000000005"/>
    <s v="SIN OTIC"/>
    <n v="2025"/>
    <s v="No Asignado"/>
    <s v="Propuesta Enviada  "/>
    <n v="0"/>
    <n v="-40000000"/>
    <s v="No Aplica"/>
    <s v="Activo"/>
    <s v="Osvaldo Lastra "/>
    <s v="osvaldo.lastra@tcs.com"/>
    <m/>
    <m/>
    <m/>
  </r>
  <r>
    <n v="131"/>
    <s v="Terra Ignota"/>
    <s v="PROSPECTO"/>
    <s v="-"/>
    <s v="-"/>
    <s v="EVENTO IA "/>
    <x v="8"/>
    <s v="Si"/>
    <s v="RM "/>
    <n v="4500000"/>
    <n v="0.09"/>
    <n v="405000"/>
    <s v="NO INDICA"/>
    <n v="2025"/>
    <s v="No Asignado"/>
    <s v="Propuesta Enviada  "/>
    <n v="0"/>
    <n v="-4500000"/>
    <s v="No Aplica"/>
    <s v="Activo"/>
    <s v="Tomas Marquardt"/>
    <s v="tmarquardt@terraignota.cl"/>
    <m/>
    <m/>
    <m/>
  </r>
  <r>
    <n v="132"/>
    <s v="TISAL"/>
    <s v="PROSPECTO"/>
    <s v="-"/>
    <s v="-"/>
    <m/>
    <x v="8"/>
    <m/>
    <s v="RM "/>
    <n v="72000000"/>
    <n v="0.04"/>
    <n v="2880000"/>
    <s v="NO INDICA"/>
    <n v="2025"/>
    <s v="No Asignado"/>
    <s v="Propuesta Enviada  "/>
    <n v="0"/>
    <n v="-72000000"/>
    <s v="No Aplica"/>
    <s v="Activo"/>
    <s v="Estefany Medrano"/>
    <s v="estefany.medrano@tisal.cl"/>
    <m/>
    <m/>
    <m/>
  </r>
  <r>
    <n v="133"/>
    <s v="TradeMedical"/>
    <s v="PROSPECTO"/>
    <s v="-"/>
    <s v="-"/>
    <m/>
    <x v="8"/>
    <m/>
    <s v="RM "/>
    <n v="0"/>
    <m/>
    <n v="0"/>
    <s v="NO INDICA"/>
    <n v="2025"/>
    <s v="No Asignado"/>
    <s v="Propuesta Enviada  "/>
    <n v="0"/>
    <n v="0"/>
    <s v="No Aplica"/>
    <s v="Activo"/>
    <s v="Javiera"/>
    <s v="rrhh@trademedical.cl"/>
    <m/>
    <m/>
    <m/>
  </r>
  <r>
    <n v="134"/>
    <s v="UNITED PIPELINE"/>
    <s v="PROSPECTO"/>
    <s v="-"/>
    <s v="-"/>
    <m/>
    <x v="8"/>
    <m/>
    <s v="RM "/>
    <n v="120000000"/>
    <n v="0.04"/>
    <n v="4800000"/>
    <s v="NO INDICA"/>
    <n v="2025"/>
    <s v="No Asignado"/>
    <s v="Propuesta Enviada  "/>
    <n v="0"/>
    <n v="-120000000"/>
    <s v="No Aplica"/>
    <s v="-"/>
    <s v="-"/>
    <s v="-"/>
    <m/>
    <m/>
    <m/>
  </r>
  <r>
    <n v="135"/>
    <s v="VERISURE"/>
    <s v="PROSPECTO"/>
    <s v="-"/>
    <s v="-"/>
    <m/>
    <x v="8"/>
    <m/>
    <s v="RM "/>
    <n v="22000000"/>
    <n v="0.02"/>
    <n v="440000"/>
    <s v="NO INDICA"/>
    <n v="2025"/>
    <s v="No Asignado"/>
    <s v="Propuesta Enviada  "/>
    <n v="0"/>
    <n v="-22000000"/>
    <s v="No Aplica"/>
    <s v="Activo"/>
    <s v="Alicia rodriguez"/>
    <s v="alicia.rodriguezpena@verisure.cl"/>
    <m/>
    <m/>
    <m/>
  </r>
  <r>
    <n v="136"/>
    <s v="WEIR MINERALS"/>
    <s v="PROSPECTO"/>
    <s v="-"/>
    <s v="-"/>
    <m/>
    <x v="8"/>
    <m/>
    <s v="RM "/>
    <n v="300000000"/>
    <n v="0.04"/>
    <n v="12000000"/>
    <s v="NO INDICA"/>
    <n v="2025"/>
    <s v="No Asignado"/>
    <s v="Propuesta Enviada  "/>
    <n v="0"/>
    <n v="-300000000"/>
    <s v="No Aplica"/>
    <s v="Activo"/>
    <s v="Paula Perez"/>
    <s v="paula.perez@mail.weir"/>
    <m/>
    <m/>
    <m/>
  </r>
  <r>
    <n v="137"/>
    <s v="WETRANSOPORT"/>
    <s v="PROSPECTO"/>
    <s v="-"/>
    <s v="-"/>
    <s v="EVENTO IA "/>
    <x v="8"/>
    <s v="Si"/>
    <s v="RM "/>
    <n v="4000000"/>
    <n v="0.12"/>
    <n v="480000"/>
    <s v="NO INDICA"/>
    <n v="2025"/>
    <s v="No Asignado"/>
    <s v="Propuesta Enviada  "/>
    <n v="0"/>
    <n v="-4000000"/>
    <s v="No Aplica"/>
    <s v="Activo"/>
    <s v="Luis Caceres "/>
    <s v="luis.caceres@wetransport.cl"/>
    <m/>
    <m/>
    <m/>
  </r>
  <r>
    <n v="138"/>
    <s v="World Vision"/>
    <s v="PROSPECTO"/>
    <s v="-"/>
    <s v="-"/>
    <m/>
    <x v="8"/>
    <m/>
    <s v="RM "/>
    <n v="8000000"/>
    <n v="7.0000000000000007E-2"/>
    <n v="560000"/>
    <s v="SIN OTIC"/>
    <n v="2025"/>
    <s v="No Asignado"/>
    <s v="Propuesta Enviada  "/>
    <n v="0"/>
    <n v="-8000000"/>
    <s v="No Aplica"/>
    <s v="Inactivo"/>
    <s v="Romina Antilef"/>
    <s v="romina_antilef@wvi.org,  maría_munoz@wvi.org"/>
    <m/>
    <m/>
    <m/>
  </r>
  <r>
    <n v="139"/>
    <s v="ZERVIZ"/>
    <s v="PROSPECTO"/>
    <s v="-"/>
    <s v="-"/>
    <m/>
    <x v="8"/>
    <m/>
    <s v="RM "/>
    <n v="18000000"/>
    <n v="0.09"/>
    <n v="1620000"/>
    <s v="SIN OTIC"/>
    <n v="2025"/>
    <s v="No Asignado"/>
    <s v="Propuesta Enviada  "/>
    <n v="0"/>
    <n v="-18000000"/>
    <s v="No Aplica"/>
    <s v="Activo"/>
    <s v="Alejandra Canales"/>
    <s v="alejandra.canales@zervizgroup.com"/>
    <m/>
    <m/>
    <m/>
  </r>
  <r>
    <n v="140"/>
    <s v="CLEO"/>
    <s v="EN GESTIÓN"/>
    <s v="-"/>
    <s v="-"/>
    <m/>
    <x v="2"/>
    <s v="No"/>
    <s v="RM "/>
    <n v="3136934"/>
    <n v="0.13"/>
    <n v="407801.42000000004"/>
    <s v="SIN OTIC"/>
    <s v="Marzo"/>
    <s v="No Asignado"/>
    <s v="Rechaza propuesta"/>
    <n v="0"/>
    <n v="-3136934"/>
    <s v="No Aplica"/>
    <s v="Inactivo"/>
    <s v="Fernanda Perez "/>
    <s v="fernanda.perez@cleo.cl"/>
    <m/>
    <m/>
    <d v="2026-03-03T00:00:00"/>
  </r>
  <r>
    <n v="141"/>
    <s v="FILL-LIF"/>
    <s v="EN GESTIÓN"/>
    <s v="-"/>
    <s v="-"/>
    <m/>
    <x v="2"/>
    <s v="No"/>
    <s v="RM "/>
    <n v="16000000"/>
    <n v="0.09"/>
    <n v="1440000"/>
    <s v="NO INDICA"/>
    <s v="Marzo"/>
    <s v="No Asignado"/>
    <s v="Rechaza propuesta"/>
    <n v="0"/>
    <n v="-16000000"/>
    <s v="No Aplica"/>
    <s v="Activo"/>
    <s v="Juan Francisco"/>
    <s v="jfyanez@fill-lif.cl"/>
    <m/>
    <m/>
    <m/>
  </r>
  <r>
    <n v="142"/>
    <s v="GEISER SEGURIDAD"/>
    <s v="EN GESTIÓN"/>
    <s v="-"/>
    <s v="-"/>
    <m/>
    <x v="2"/>
    <s v="No"/>
    <s v="Norte 2 "/>
    <n v="1000000"/>
    <n v="0.15"/>
    <n v="150000"/>
    <s v="SIN OTIC"/>
    <s v="Abril"/>
    <s v="No Asignado"/>
    <s v="Rechaza propuesta"/>
    <n v="0"/>
    <n v="-1000000"/>
    <s v="No Aplica"/>
    <s v="Activo"/>
    <s v="Jonathan Garcia"/>
    <s v="froque@geiserseguridad.cl, jgarcia@geiserseguridad.cl, geiserseguridad@outlook.com"/>
    <m/>
    <m/>
    <d v="2026-04-21T00:00:00"/>
  </r>
  <r>
    <n v="143"/>
    <s v="UNIVERSIDAD FINIS TERRAE"/>
    <s v="EN GESTIÓN"/>
    <s v="-"/>
    <s v="-"/>
    <m/>
    <x v="2"/>
    <s v="No"/>
    <s v="RM "/>
    <n v="0"/>
    <n v="0"/>
    <n v="0"/>
    <s v="SIN OTIC"/>
    <s v="Marzo"/>
    <s v="No Asignado"/>
    <s v="Rechaza propuesta"/>
    <n v="0"/>
    <n v="0"/>
    <s v="No Aplica"/>
    <s v="Activo"/>
    <s v="Karen Poblete"/>
    <s v="fpinares@uft.cl ,kpoblete@uft.cl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D96B8-4342-4A06-88CC-E5E668E7C85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C33" firstHeaderRow="2" firstDataRow="2" firstDataCol="2"/>
  <pivotFields count="25"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28">
        <item n="70885500-6" x="16"/>
        <item n="71004200-4" x="8"/>
        <item n="76045612-8" x="2"/>
        <item n="76047265-4" x="4"/>
        <item n="76050082-8" x="13"/>
        <item n="76065151-6" x="12"/>
        <item n="76176508-6" x="19"/>
        <item n="76187179-k" x="20"/>
        <item n="76344044-3" x="17"/>
        <item n="76366910-6" x="5"/>
        <item n="76432503-6" x="18"/>
        <item n="76466068-4" x="3"/>
        <item n="76541298-6" x="14"/>
        <item n="76641876-7" x="10"/>
        <item n="76775218-0" x="22"/>
        <item n="77223245-4" x="23"/>
        <item n="77545580-2" x="0"/>
        <item n="77836523-5" x="21"/>
        <item n="77851804-k" x="25"/>
        <item n="79619240-2" x="26"/>
        <item n="83030600-5" x="15"/>
        <item n="87908100-9" x="7"/>
        <item n="89689900-7" x="9"/>
        <item n="93545000-4" x="1"/>
        <item n="96606310-6" x="24"/>
        <item n="96768160-1" x="27"/>
        <item n="96995150-9" x="6"/>
        <item n="98000000-1" x="11"/>
      </items>
    </pivotField>
    <pivotField axis="axisRow" compact="0" outline="0" showAll="0">
      <items count="29">
        <item x="11"/>
        <item x="17"/>
        <item x="24"/>
        <item x="4"/>
        <item x="8"/>
        <item x="9"/>
        <item x="12"/>
        <item x="2"/>
        <item x="15"/>
        <item x="26"/>
        <item x="25"/>
        <item x="27"/>
        <item x="0"/>
        <item x="13"/>
        <item x="5"/>
        <item x="3"/>
        <item x="1"/>
        <item x="14"/>
        <item x="7"/>
        <item x="6"/>
        <item x="10"/>
        <item x="16"/>
        <item x="21"/>
        <item x="19"/>
        <item x="22"/>
        <item x="18"/>
        <item x="20"/>
        <item x="23"/>
        <item t="default"/>
      </items>
    </pivotField>
    <pivotField compact="0" outline="0" showAll="0"/>
    <pivotField dataField="1" compact="0" numFmtId="3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0"/>
        <item x="1"/>
        <item x="5"/>
        <item x="4"/>
        <item x="3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2"/>
    <field x="5"/>
  </rowFields>
  <rowItems count="29">
    <i>
      <x/>
      <x v="12"/>
    </i>
    <i r="1">
      <x v="16"/>
    </i>
    <i r="1">
      <x v="20"/>
    </i>
    <i>
      <x v="1"/>
      <x v="7"/>
    </i>
    <i>
      <x v="2"/>
      <x v="1"/>
    </i>
    <i>
      <x v="3"/>
      <x v="21"/>
    </i>
    <i>
      <x v="4"/>
      <x v="14"/>
    </i>
    <i>
      <x v="5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7"/>
    </i>
    <i r="1">
      <x v="18"/>
    </i>
    <i r="1">
      <x v="19"/>
    </i>
    <i r="1">
      <x v="22"/>
    </i>
    <i r="1">
      <x v="23"/>
    </i>
    <i r="1">
      <x v="24"/>
    </i>
    <i r="1">
      <x v="25"/>
    </i>
    <i r="1">
      <x v="26"/>
    </i>
    <i r="1">
      <x v="27"/>
    </i>
    <i t="grand">
      <x/>
    </i>
  </rowItems>
  <colItems count="1">
    <i/>
  </colItems>
  <dataFields count="1">
    <dataField name="Suma de Monto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23C6A-1ACE-4386-97CA-10B5C059787C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9:D25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5">
        <item x="3"/>
        <item x="2"/>
        <item x="1"/>
        <item x="0"/>
        <item t="default"/>
      </items>
    </pivotField>
    <pivotField axis="axisCol" numFmtI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a de Monto" fld="7" baseField="0" baseItem="0" numFmtId="42"/>
  </dataFields>
  <formats count="1">
    <format dxfId="146">
      <pivotArea outline="0" collapsedLevelsAreSubtotals="1" fieldPosition="0"/>
    </format>
  </format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80CFF-FFC5-4DF9-965E-CDBB14C2F116}" name="TablaDinámica4" cacheId="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A3:B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cuento distinto de HOLDING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cuento distinto de HOLDING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guimiento Nuevos Negocios 2026 V2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B88EF-53BF-4606-AFE8-C941C063320E}" name="TablaDinámica3" cacheId="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rowHeaderCaption="INDICADORES ">
  <location ref="A40:C64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AttributeDrillState="1">
      <items count="4">
        <item x="0"/>
        <item x="1" e="0"/>
        <item x="2" e="0"/>
        <item t="default"/>
      </items>
    </pivotField>
    <pivotField axis="axisRow" allDrilled="1" subtotalTop="0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2">
    <field x="2"/>
    <field x="3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default"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MONTO PROYECTADO APORTE" fld="0" baseField="0" baseItem="0" numFmtId="42"/>
    <dataField name="APORTE " fld="1" baseField="0" baseItem="0" numFmtId="42"/>
  </dataFields>
  <formats count="8">
    <format dxfId="10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grandRow="1" outline="0" collapsedLevelsAreSubtotals="1" fieldPosition="0"/>
    </format>
    <format dxfId="97">
      <pivotArea dataOnly="0" labelOnly="1" grandRow="1" outline="0" fieldPosition="0"/>
    </format>
    <format dxfId="9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4">
      <pivotArea field="2" type="button" dataOnly="0" labelOnly="1" outline="0" axis="axisRow" fieldPosition="0"/>
    </format>
  </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ANTIDAD"/>
    <pivotHierarchy dragToData="1" caption="MONTO PROYECTADO APORTE"/>
    <pivotHierarchy dragToData="1" caption="APORTE 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guimiento Nuevos Negocios 2026 V2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66A43-20C3-44F7-9439-66C9415E0221}" name="TablaDinámica1" cacheId="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rowHeaderCaption="INDICADORES ">
  <location ref="A29:D33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NTIDAD" fld="2" subtotal="count" baseField="0" baseItem="0"/>
    <dataField name="MONTO PROYECTADO APORTE" fld="0" baseField="0" baseItem="0" numFmtId="42"/>
    <dataField name="APORTE " fld="1" baseField="0" baseItem="0" numFmtId="42"/>
  </dataFields>
  <formats count="8">
    <format dxfId="10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08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07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06">
      <pivotArea grandRow="1" outline="0" collapsedLevelsAreSubtotals="1" fieldPosition="0"/>
    </format>
    <format dxfId="105">
      <pivotArea dataOnly="0" labelOnly="1" grandRow="1" outline="0" fieldPosition="0"/>
    </format>
    <format dxfId="10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0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ORCENTAJE"/>
    <pivotHierarchy dragToData="1" caption="MONTO PROYECTADO APORTE"/>
    <pivotHierarchy dragToData="1" caption="APORTE "/>
    <pivotHierarchy dragToData="1" caption="CANTIDA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guimiento Nuevos Negocios 2026 V2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4B5CA-721E-4C9F-8F77-5D6C0BD6C232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NDICADORES">
  <location ref="A3:C13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axis="axisRow" showAll="0">
      <items count="11">
        <item x="7"/>
        <item x="2"/>
        <item x="1"/>
        <item x="8"/>
        <item x="5"/>
        <item x="3"/>
        <item x="6"/>
        <item x="4"/>
        <item x="0"/>
        <item m="1" x="9"/>
        <item t="default"/>
      </items>
    </pivotField>
    <pivotField showAll="0"/>
    <pivotField showAll="0"/>
    <pivotField dataField="1" showAll="0"/>
    <pivotField showAll="0"/>
    <pivotField numFmtId="42" showAll="0"/>
    <pivotField showAll="0"/>
    <pivotField showAll="0"/>
    <pivotField showAll="0"/>
    <pivotField showAll="0"/>
    <pivotField dataField="1" numFmtId="42" showAll="0"/>
    <pivotField numFmtId="4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MONTO PROYECTADO APORTE" fld="9" baseField="0" baseItem="0"/>
    <dataField name="APORTES" fld="16" baseField="0" baseItem="0" numFmtId="42"/>
  </dataFields>
  <formats count="22">
    <format dxfId="131">
      <pivotArea field="6" type="button" dataOnly="0" labelOnly="1" outline="0" axis="axisRow" fieldPosition="0"/>
    </format>
    <format dxfId="130">
      <pivotArea dataOnly="0" labelOnly="1" outline="0" axis="axisValues" fieldPosition="0"/>
    </format>
    <format dxfId="129">
      <pivotArea field="6" type="button" dataOnly="0" labelOnly="1" outline="0" axis="axisRow" fieldPosition="0"/>
    </format>
    <format dxfId="128">
      <pivotArea dataOnly="0" labelOnly="1" outline="0" axis="axisValues" fieldPosition="0"/>
    </format>
    <format dxfId="127">
      <pivotArea field="6" type="button" dataOnly="0" labelOnly="1" outline="0" axis="axisRow" fieldPosition="0"/>
    </format>
    <format dxfId="126">
      <pivotArea dataOnly="0" labelOnly="1" outline="0" axis="axisValues" fieldPosition="0"/>
    </format>
    <format dxfId="125">
      <pivotArea field="6" type="button" dataOnly="0" labelOnly="1" outline="0" axis="axisRow" fieldPosition="0"/>
    </format>
    <format dxfId="124">
      <pivotArea dataOnly="0" labelOnly="1" outline="0" axis="axisValues" fieldPosition="0"/>
    </format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field="6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9">
      <pivotArea field="6" type="button" dataOnly="0" labelOnly="1" outline="0" axis="axisRow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outline="0" collapsedLevelsAreSubtotals="1" fieldPosition="0"/>
    </format>
    <format dxfId="116">
      <pivotArea outline="0" collapsedLevelsAreSubtotals="1" fieldPosition="0"/>
    </format>
    <format dxfId="115">
      <pivotArea field="6" type="button" dataOnly="0" labelOnly="1" outline="0" axis="axisRow" fieldPosition="0"/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">
      <pivotArea field="6" type="button" dataOnly="0" labelOnly="1" outline="0" axis="axisRow" fieldPosition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collapsedLevelsAreSubtotals="1" fieldPosition="0">
        <references count="1">
          <reference field="6" count="1">
            <x v="3"/>
          </reference>
        </references>
      </pivotArea>
    </format>
    <format dxfId="110">
      <pivotArea dataOnly="0" labelOnly="1" fieldPosition="0">
        <references count="1">
          <reference field="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1DC4C-C067-4D11-9BFC-2FB751C4A594}" name="TablaDinámica5" cacheId="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rowHeaderCaption="INDICADORES ">
  <location ref="A20:E27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PORCENTAJE" fld="4" subtotal="count" showDataAs="percentOfTotal" baseField="1" baseItem="4" numFmtId="9">
      <extLst>
        <ext xmlns:x14="http://schemas.microsoft.com/office/spreadsheetml/2009/9/main" uri="{E15A36E0-9728-4e99-A89B-3F7291B0FE68}">
          <x14:dataField sourceField="0" uniqueName="[__Xl2].[Measures].[Recuento distinto de HOLDING]"/>
        </ext>
        <ext xmlns:x15="http://schemas.microsoft.com/office/spreadsheetml/2010/11/main" uri="{FABC7310-3BB5-11E1-824E-6D434824019B}">
          <x15:dataField isCountDistinct="1"/>
        </ext>
      </extLst>
    </dataField>
    <dataField name="MONTO PROYECTADO APORTE" fld="2" baseField="0" baseItem="0" numFmtId="42"/>
    <dataField name="APORTE " fld="3" baseField="0" baseItem="0" numFmtId="42"/>
  </dataFields>
  <formats count="14">
    <format dxfId="145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144">
      <pivotArea dataOnly="0" outline="0" fieldPosition="0">
        <references count="1">
          <reference field="4294967294" count="1">
            <x v="0"/>
          </reference>
        </references>
      </pivotArea>
    </format>
    <format dxfId="143">
      <pivotArea outline="0" fieldPosition="0">
        <references count="1">
          <reference field="4294967294" count="1">
            <x v="1"/>
          </reference>
        </references>
      </pivotArea>
    </format>
    <format dxfId="142">
      <pivotArea field="1" type="button" dataOnly="0" labelOnly="1" outline="0" axis="axisRow" fieldPosition="0"/>
    </format>
    <format dxfId="1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0">
      <pivotArea field="1" type="button" dataOnly="0" labelOnly="1" outline="0" axis="axisRow" fieldPosition="0"/>
    </format>
    <format dxfId="1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8">
      <pivotArea grandRow="1" outline="0" collapsedLevelsAreSubtotals="1" fieldPosition="0"/>
    </format>
    <format dxfId="137">
      <pivotArea dataOnly="0" labelOnly="1" grandRow="1" outline="0" fieldPosition="0"/>
    </format>
    <format dxfId="1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13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ORCENTAJE"/>
    <pivotHierarchy dragToData="1" caption="MONTO PROYECTADO APORTE"/>
    <pivotHierarchy dragToData="1" caption="APORTE 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guimiento Nuevos Negocios 2026 V2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775BA1-B618-42B0-8A4C-F5B737E0EBE0}" name="Tabla2" displayName="Tabla2" ref="A1:T131" totalsRowCount="1" headerRowDxfId="192" dataDxfId="190" totalsRowDxfId="188" headerRowBorderDxfId="191" tableBorderDxfId="189" totalsRowBorderDxfId="187">
  <autoFilter ref="A1:T130" xr:uid="{0F775BA1-B618-42B0-8A4C-F5B737E0EBE0}">
    <filterColumn colId="2">
      <filters>
        <filter val="#N/D"/>
      </filters>
    </filterColumn>
    <filterColumn colId="13">
      <filters>
        <filter val="Proceso de afiliación"/>
        <filter val="Propuesta Enviada / Sin Respuesta"/>
        <filter val="Rechaza propuesta"/>
        <filter val="Seguimiento sin propuestas"/>
      </filters>
    </filterColumn>
  </autoFilter>
  <tableColumns count="20">
    <tableColumn id="1" xr3:uid="{0F30DE55-4DB4-4BDB-B70A-A19D22A69A29}" name="N°" dataDxfId="186" totalsRowDxfId="185"/>
    <tableColumn id="8" xr3:uid="{BF3FAF27-5E9A-4777-B3C1-4B1CF9699F0A}" name="Empresa / Holding" dataDxfId="184" totalsRowDxfId="183"/>
    <tableColumn id="20" xr3:uid="{129CB296-B81F-4703-B12E-2FDA7CA52379}" name="kari" dataDxfId="182" totalsRowDxfId="181">
      <calculatedColumnFormula>VLOOKUP(Tabla2[[#This Row],[Empresa / Holding]],Tabla1[[#Headers],[#Data],[HOLDING]],1,0)</calculatedColumnFormula>
    </tableColumn>
    <tableColumn id="19" xr3:uid="{AC0AAB94-80C5-4D1A-80E6-863D379118B1}" name="Invitación a Evento " dataDxfId="180" totalsRowDxfId="179"/>
    <tableColumn id="13" xr3:uid="{1A36D0AE-4C20-454D-B8DA-72CD071E7F47}" name="AÑO " dataDxfId="178" totalsRowDxfId="177"/>
    <tableColumn id="10" xr3:uid="{9CD19E6E-CF0A-4BD9-B4E8-C0537B89C4BB}" name="Contacto Página Web " dataDxfId="176" totalsRowDxfId="175"/>
    <tableColumn id="2" xr3:uid="{DAA15E8E-93D0-4627-A585-0E360FF60778}" name="Monto 1% u Aporte " totalsRowFunction="sum" dataDxfId="174" totalsRowDxfId="173" dataCellStyle="Moneda [0]"/>
    <tableColumn id="9" xr3:uid="{A5A3E457-22AD-414D-8578-F08EC1A3E466}" name="Tasa Propuesta Administración OTIC" totalsRowFunction="average" dataDxfId="172" totalsRowDxfId="171"/>
    <tableColumn id="11" xr3:uid="{16524EF9-9C23-4A4A-A828-32D44256083C}" name="Monto Admisnistración " totalsRowFunction="custom" dataDxfId="170" totalsRowDxfId="169">
      <calculatedColumnFormula>Tabla2[[#This Row],[Monto 1% u Aporte ]]*Tabla2[[#This Row],[Tasa Propuesta Administración OTIC]]</calculatedColumnFormula>
      <totalsRowFormula>SUBTOTAL(9,I2:I86)</totalsRowFormula>
    </tableColumn>
    <tableColumn id="3" xr3:uid="{E5FAF30F-7A7B-41BB-B55D-CAAC4ED57699}" name="OTIC Actual" dataDxfId="168" totalsRowDxfId="167"/>
    <tableColumn id="4" xr3:uid="{7F24105C-68A2-476B-BCA5-19BB7FE4B7A8}" name="Ejecutivo(s) a Cargo" dataDxfId="166" totalsRowDxfId="165"/>
    <tableColumn id="18" xr3:uid="{1B406241-73A7-497D-9DCC-A1394082366F}" name="Columna1" dataDxfId="164" totalsRowDxfId="163"/>
    <tableColumn id="15" xr3:uid="{DAE54812-22F7-4856-83AD-8BF0BA55B6AE}" name="Jefa de Cartera Asignada " dataDxfId="162" totalsRowDxfId="161"/>
    <tableColumn id="5" xr3:uid="{14B4CBA6-515B-4534-81A1-A687E06B3258}" name="Estado " dataDxfId="160" totalsRowDxfId="159"/>
    <tableColumn id="14" xr3:uid="{B1252EA9-C395-4461-AD6B-11ADE36D26DA}" name="Aporte Ingresado" totalsRowFunction="sum" dataDxfId="158" totalsRowDxfId="157" dataCellStyle="Moneda [0]"/>
    <tableColumn id="12" xr3:uid="{1F1D2073-B47D-4C83-B3A3-E42E3A51FE22}" name="Diferencia " dataDxfId="156" totalsRowDxfId="155" dataCellStyle="Moneda [0]">
      <calculatedColumnFormula>Tabla2[[#This Row],[Aporte Ingresado]]-Tabla2[[#This Row],[Monto 1% u Aporte ]]</calculatedColumnFormula>
    </tableColumn>
    <tableColumn id="17" xr3:uid="{E0A2F21A-06D6-431B-915C-2F2F3AE957A8}" name="Contacto " dataDxfId="154" totalsRowDxfId="153" dataCellStyle="Moneda [0]"/>
    <tableColumn id="16" xr3:uid="{1EE1C7A0-A4EB-4E43-955D-087020940D5D}" name="Correo" dataDxfId="152" totalsRowDxfId="151" dataCellStyle="Moneda [0]"/>
    <tableColumn id="6" xr3:uid="{6B6225DB-AE5D-4CE6-9297-621A9C32861F}" name="Comentarios (Acciones / Reuniones)" dataDxfId="150" totalsRowDxfId="149"/>
    <tableColumn id="7" xr3:uid="{501E0419-317E-498A-9711-891202828E93}" name="Fecha Último Contacto" dataDxfId="148" totalsRowDxfId="14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E80DA-251C-48D1-8CEF-77DEE1A55039}" name="Tabla1" displayName="Tabla1" ref="A2:Z173" totalsRowShown="0" headerRowDxfId="248" dataDxfId="246" totalsRowDxfId="244" headerRowBorderDxfId="247" tableBorderDxfId="245" totalsRowBorderDxfId="243">
  <autoFilter ref="A2:Z173" xr:uid="{A9AE80DA-251C-48D1-8CEF-77DEE1A55039}">
    <filterColumn colId="1">
      <filters>
        <filter val="ARISTIA"/>
      </filters>
    </filterColumn>
  </autoFilter>
  <sortState xmlns:xlrd2="http://schemas.microsoft.com/office/spreadsheetml/2017/richdata2" ref="A31:Z172">
    <sortCondition descending="1" ref="J2:J172"/>
  </sortState>
  <tableColumns count="26">
    <tableColumn id="1" xr3:uid="{07D1E6D9-8DAD-4082-9073-4B606108A473}" name="N°" dataDxfId="242" totalsRowDxfId="241"/>
    <tableColumn id="20" xr3:uid="{CBD81111-674E-4FDD-8B48-BB1A2350F0C5}" name="HOLDING" dataDxfId="240" totalsRowDxfId="239"/>
    <tableColumn id="23" xr3:uid="{DDF44B59-FA82-401A-BF96-F12D62945E02}" name="Estado Contacto " dataDxfId="238" totalsRowDxfId="237"/>
    <tableColumn id="19" xr3:uid="{35D90956-3F80-4322-A51D-9E57268FEEC6}" name="RUT" dataDxfId="236" totalsRowDxfId="235"/>
    <tableColumn id="2" xr3:uid="{5D50BA51-03F9-4128-910F-F658F4B4F75B}" name="Razón Social" dataDxfId="234" totalsRowDxfId="233"/>
    <tableColumn id="21" xr3:uid="{350E3AA4-3514-4A3E-A486-B59745716352}" name="EVENTO" dataDxfId="232" totalsRowDxfId="231"/>
    <tableColumn id="3" xr3:uid="{85130278-C0CC-4C3F-BBCA-3313B900FE25}" name="Indicador" dataDxfId="230" totalsRowDxfId="229"/>
    <tableColumn id="17" xr3:uid="{706A5805-F6EF-420B-B236-2238202780F8}" name="Evento2" dataDxfId="228" totalsRowDxfId="227"/>
    <tableColumn id="18" xr3:uid="{DFADA439-5572-4C6B-B777-54197C4AF4AF}" name="Zona" dataDxfId="226" totalsRowDxfId="225"/>
    <tableColumn id="4" xr3:uid="{FC3C4519-7EE3-4513-80C1-A8D93410BBC5}" name="Monto 1% u Aporte " dataDxfId="224" totalsRowDxfId="223" dataCellStyle="Moneda [0]"/>
    <tableColumn id="5" xr3:uid="{C8ED7953-D688-4961-9287-9A95FCD6EF30}" name="Tasa Propuesta Administración OTIC" dataDxfId="222" totalsRowDxfId="221" dataCellStyle="Moneda [0]"/>
    <tableColumn id="6" xr3:uid="{5A5C30F4-E035-4568-8F14-2622D400F18B}" name="Monto Admisnistración " dataDxfId="220" totalsRowDxfId="219" dataCellStyle="Moneda [0]">
      <calculatedColumnFormula>Tabla1[[#This Row],[Monto 1% u Aporte ]]*Tabla1[[#This Row],[Tasa Propuesta Administración OTIC]]</calculatedColumnFormula>
    </tableColumn>
    <tableColumn id="7" xr3:uid="{1AF02EE5-672C-49A8-BD08-954223AD9F9B}" name="OTIC Actual" dataDxfId="218" totalsRowDxfId="217"/>
    <tableColumn id="8" xr3:uid="{70858BA3-E023-4E8E-96A7-0C37D1E1B710}" name="Mes Envío Propuesta" dataDxfId="216" totalsRowDxfId="215"/>
    <tableColumn id="9" xr3:uid="{B71CCD20-49B6-4C3F-AFFD-0ECCFB4607AB}" name="Jefa de Cartera Asignada " dataDxfId="214" totalsRowDxfId="213"/>
    <tableColumn id="10" xr3:uid="{7EF5083E-0684-4BB7-BA7C-F17E128AEFAA}" name="Estado " dataDxfId="212" totalsRowDxfId="211"/>
    <tableColumn id="11" xr3:uid="{586BDB90-31DE-47B9-9207-A1B2F9045DFF}" name="Aporte Ingresado" dataDxfId="210" dataCellStyle="Moneda [0]"/>
    <tableColumn id="12" xr3:uid="{D363FD96-841E-489C-9BB1-F528220DFF31}" name="Diferencia " dataDxfId="209" totalsRowDxfId="208" dataCellStyle="Moneda [0]">
      <calculatedColumnFormula>Tabla1[[#This Row],[Aporte Ingresado]]-Tabla1[[#This Row],[Monto 1% u Aporte ]]</calculatedColumnFormula>
    </tableColumn>
    <tableColumn id="22" xr3:uid="{C4C006CA-C400-4570-8E60-1432D8A72044}" name="Fecha Autoriza Propuesta" dataDxfId="207" totalsRowDxfId="206" dataCellStyle="Moneda [0]"/>
    <tableColumn id="24" xr3:uid="{76115DCC-EB25-4DD4-8522-28207DB5C8F7}" name="Contacto " dataDxfId="205" totalsRowDxfId="204" dataCellStyle="Moneda [0]"/>
    <tableColumn id="13" xr3:uid="{27BF3F3C-D78B-4259-81AB-E4B7F2A57DAB}" name="Contacto 2" dataDxfId="203" totalsRowDxfId="202"/>
    <tableColumn id="14" xr3:uid="{8897387D-F5DC-4097-9375-02200F8CA106}" name="Correo" dataDxfId="201" totalsRowDxfId="200" dataCellStyle="Hipervínculo"/>
    <tableColumn id="25" xr3:uid="{0E9D04C1-69B0-47F8-8CDB-9E166125CA43}" name="Cargo " totalsRowDxfId="199"/>
    <tableColumn id="26" xr3:uid="{6559A599-2F55-4432-AE16-4352472887F3}" name="Celular / Telefono" dataDxfId="198" totalsRowDxfId="197"/>
    <tableColumn id="15" xr3:uid="{53722627-8D8E-4285-A418-5379637B1FD8}" name="Comentarios (Acciones / Reuniones)" dataDxfId="196" totalsRowDxfId="195"/>
    <tableColumn id="16" xr3:uid="{C6D274A6-D81B-4D66-B785-45141FB9318D}" name="Fecha Reunión " dataDxfId="194" totalsRowDxfId="19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1A778-3EE7-4375-8650-14F50F5ADC1B}" name="Tabla4" displayName="Tabla4" ref="A1:AA55" totalsRowShown="0">
  <autoFilter ref="A1:AA55" xr:uid="{26F1A778-3EE7-4375-8650-14F50F5ADC1B}">
    <filterColumn colId="10">
      <filters>
        <filter val="2025"/>
      </filters>
    </filterColumn>
  </autoFilter>
  <tableColumns count="27">
    <tableColumn id="1" xr3:uid="{FD2FA253-DA94-4978-A6EB-428393E82EA8}" name="Nro"/>
    <tableColumn id="2" xr3:uid="{A431F82B-2747-4B61-8680-1E2A3ED0F3A5}" name="Id Aporte"/>
    <tableColumn id="3" xr3:uid="{B5F2E13F-101F-4B9A-8544-2497F4B7D277}" name="#Year"/>
    <tableColumn id="4" xr3:uid="{E4BC9F07-DCCE-4B5D-9807-9591E4F9B2C2}" name="#Docu"/>
    <tableColumn id="5" xr3:uid="{4B7B318A-C47D-418B-84F2-66F68D1F5FF2}" name="Rut"/>
    <tableColumn id="6" xr3:uid="{02FC21B1-C619-433B-8D60-5E82D68EAC62}" name="Empresa "/>
    <tableColumn id="7" xr3:uid="{56107E65-2A38-4527-9CA5-81632FB86153}" name="Sucursal"/>
    <tableColumn id="8" xr3:uid="{C01CAEEC-A1D8-4770-9E14-E0FBA45AB623}" name="Monto" dataDxfId="93"/>
    <tableColumn id="9" xr3:uid="{A5964AAD-51EC-4AD1-A367-A53656162A5D}" name="Fecha" dataDxfId="92"/>
    <tableColumn id="10" xr3:uid="{C9CCC778-38A7-46F5-B8F4-F8BEF34764B9}" name="MES " dataDxfId="91">
      <calculatedColumnFormula>PROPER(TEXT(I2,"mmm"))</calculatedColumnFormula>
    </tableColumn>
    <tableColumn id="11" xr3:uid="{A88A8437-3936-40BB-B07D-5676530553DA}" name="año" dataDxfId="90">
      <calculatedColumnFormula>YEAR(I2)</calculatedColumnFormula>
    </tableColumn>
    <tableColumn id="12" xr3:uid="{966C9765-A0A2-4B2D-B47F-BCBDDE78A65A}" name="FecCheque"/>
    <tableColumn id="13" xr3:uid="{725CF372-974D-4447-ADDD-5F0589D7D2EE}" name="Tasa"/>
    <tableColumn id="14" xr3:uid="{899D8D92-6D7C-4A24-950B-69EC851849EA}" name="Tipo"/>
    <tableColumn id="15" xr3:uid="{171097CA-4DCC-45A0-963D-4E12B346F82E}" name="Zona"/>
    <tableColumn id="16" xr3:uid="{F2AB6DCD-AE99-4EA2-96CC-00C8428F32DB}" name="Modalidad"/>
    <tableColumn id="17" xr3:uid="{00E8CADF-6C51-48A1-B0BA-729CA099D03B}" name="Ejecutivo"/>
    <tableColumn id="18" xr3:uid="{0B0BB11B-899D-414D-B9BB-FEDEC8038ACC}" name="Glosa"/>
    <tableColumn id="19" xr3:uid="{57E5681D-77C3-407C-878D-57644BD677EE}" name="T1"/>
    <tableColumn id="20" xr3:uid="{264FA03A-1FA4-48AE-861E-4441E61FC0AB}" name="T2"/>
    <tableColumn id="21" xr3:uid="{3BBA6BC5-8FB0-498D-AEA3-3C2A3E810227}" name="T3"/>
    <tableColumn id="22" xr3:uid="{3B567A55-4630-44A3-8672-A8DB1101ED55}" name="TX"/>
    <tableColumn id="23" xr3:uid="{9FCDEC01-AB06-40A1-AA36-6C2EA0135A07}" name="MtoAdm_AP"/>
    <tableColumn id="24" xr3:uid="{9BFD8187-21C7-4A07-A215-D0B0F2DDF9E9}" name="MtoAdm_T1"/>
    <tableColumn id="25" xr3:uid="{925CBF7D-0313-4DDA-8967-AE551A4977E8}" name="MtoAdm_T2"/>
    <tableColumn id="26" xr3:uid="{BE75104F-63FC-467A-A9DD-50D43A1700DF}" name="MtoAdm_T3"/>
    <tableColumn id="27" xr3:uid="{F55C3E30-2C5D-4D1A-AF0C-E18FEFF4D1E7}" name="Tipo_Soci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BAA83-F1CE-40BD-AF88-74EFDD49CB2E}" name="Tabla3" displayName="Tabla3" ref="A2:A12" totalsRowShown="0" headerRowDxfId="89" dataDxfId="88">
  <autoFilter ref="A2:A12" xr:uid="{34EBAA83-F1CE-40BD-AF88-74EFDD49CB2E}"/>
  <tableColumns count="1">
    <tableColumn id="1" xr3:uid="{46058604-13E9-4026-8D9D-31F407E5479E}" name="Indicador " dataDxfId="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439620-C326-4877-A44C-D2D8C6D4F84B}" name="Tabla7" displayName="Tabla7" ref="B2:H17" totalsRowShown="0" headerRowDxfId="86" dataDxfId="85">
  <autoFilter ref="B2:H17" xr:uid="{96439620-C326-4877-A44C-D2D8C6D4F84B}"/>
  <tableColumns count="7">
    <tableColumn id="1" xr3:uid="{402D9B94-134F-400B-A859-2FE916A98B75}" name="N°" dataDxfId="84"/>
    <tableColumn id="7" xr3:uid="{826C64BB-7D08-4A8A-A242-AD5EC099B8D3}" name="Empresa " dataDxfId="83"/>
    <tableColumn id="2" xr3:uid="{E93707B5-B475-499A-95E6-2630C9FB4E75}" name="Nombre " dataDxfId="82"/>
    <tableColumn id="3" xr3:uid="{F9D860A6-CDA9-4372-AB4B-FB5AB027BBD2}" name="Cargo " dataDxfId="81"/>
    <tableColumn id="4" xr3:uid="{8B2AB2DC-40DA-423D-BDA7-87E240EA8B7E}" name="Patente " dataDxfId="80"/>
    <tableColumn id="5" xr3:uid="{94FA5C9E-2E1C-4D81-8378-C97137C4D7B2}" name="RUT " dataDxfId="79"/>
    <tableColumn id="6" xr3:uid="{A12C172C-EB92-4CEA-846A-41DDABDFC7DA}" name="Celular" dataDxfId="7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atherine.lecaros@amphos21.com" TargetMode="External"/><Relationship Id="rId18" Type="http://schemas.openxmlformats.org/officeDocument/2006/relationships/hyperlink" Target="mailto:jrojas@workmed.cl" TargetMode="External"/><Relationship Id="rId26" Type="http://schemas.openxmlformats.org/officeDocument/2006/relationships/hyperlink" Target="mailto:fmunoz@geoinnova.cl" TargetMode="External"/><Relationship Id="rId39" Type="http://schemas.openxmlformats.org/officeDocument/2006/relationships/hyperlink" Target="mailto:gbarrios@dimacofi.cl" TargetMode="External"/><Relationship Id="rId21" Type="http://schemas.openxmlformats.org/officeDocument/2006/relationships/hyperlink" Target="mailto:barbaramartinez@edudown.cl" TargetMode="External"/><Relationship Id="rId34" Type="http://schemas.openxmlformats.org/officeDocument/2006/relationships/hyperlink" Target="mailto:cmartinez@t-rm.cl" TargetMode="External"/><Relationship Id="rId42" Type="http://schemas.openxmlformats.org/officeDocument/2006/relationships/hyperlink" Target="mailto:cristianruay@lccbuin.cl" TargetMode="External"/><Relationship Id="rId47" Type="http://schemas.openxmlformats.org/officeDocument/2006/relationships/hyperlink" Target="mailto:fernanda.olmos@grupolagos.cl" TargetMode="External"/><Relationship Id="rId50" Type="http://schemas.openxmlformats.org/officeDocument/2006/relationships/hyperlink" Target="mailto:kdominguez@dpgchile.cl" TargetMode="External"/><Relationship Id="rId7" Type="http://schemas.openxmlformats.org/officeDocument/2006/relationships/hyperlink" Target="mailto:gabriela.helman@surainvestments.com" TargetMode="External"/><Relationship Id="rId2" Type="http://schemas.openxmlformats.org/officeDocument/2006/relationships/hyperlink" Target="mailto:erodriguez@grupodlc.com" TargetMode="External"/><Relationship Id="rId16" Type="http://schemas.openxmlformats.org/officeDocument/2006/relationships/hyperlink" Target="mailto:asistente@metalmac.net" TargetMode="External"/><Relationship Id="rId29" Type="http://schemas.openxmlformats.org/officeDocument/2006/relationships/hyperlink" Target="mailto:sroudergue@genera.cl" TargetMode="External"/><Relationship Id="rId11" Type="http://schemas.openxmlformats.org/officeDocument/2006/relationships/hyperlink" Target="mailto:tmarquardt@terraignota.cl" TargetMode="External"/><Relationship Id="rId24" Type="http://schemas.openxmlformats.org/officeDocument/2006/relationships/hyperlink" Target="mailto:andres.pinchart@equifax.com" TargetMode="External"/><Relationship Id="rId32" Type="http://schemas.openxmlformats.org/officeDocument/2006/relationships/hyperlink" Target="mailto:dgarrido@losalemanes.cl" TargetMode="External"/><Relationship Id="rId37" Type="http://schemas.openxmlformats.org/officeDocument/2006/relationships/hyperlink" Target="mailto:rtorres@ariskm.com" TargetMode="External"/><Relationship Id="rId40" Type="http://schemas.openxmlformats.org/officeDocument/2006/relationships/hyperlink" Target="mailto:cristopher.munoz@ingesat.cl" TargetMode="External"/><Relationship Id="rId45" Type="http://schemas.openxmlformats.org/officeDocument/2006/relationships/hyperlink" Target="mailto:Constanza.Fuentes@prontopaga.com" TargetMode="External"/><Relationship Id="rId53" Type="http://schemas.openxmlformats.org/officeDocument/2006/relationships/hyperlink" Target="mailto:fbollo@fundicionlasrosas.cl" TargetMode="External"/><Relationship Id="rId5" Type="http://schemas.openxmlformats.org/officeDocument/2006/relationships/hyperlink" Target="mailto:nperez@aminpro.com" TargetMode="External"/><Relationship Id="rId10" Type="http://schemas.openxmlformats.org/officeDocument/2006/relationships/hyperlink" Target="mailto:susana.barros@bitumix.cl" TargetMode="External"/><Relationship Id="rId19" Type="http://schemas.openxmlformats.org/officeDocument/2006/relationships/hyperlink" Target="mailto:priscilla.vilches@tnschile.com" TargetMode="External"/><Relationship Id="rId31" Type="http://schemas.openxmlformats.org/officeDocument/2006/relationships/hyperlink" Target="mailto:mbarra@apsorad.cl" TargetMode="External"/><Relationship Id="rId44" Type="http://schemas.openxmlformats.org/officeDocument/2006/relationships/hyperlink" Target="mailto:poteiza@clinicaterre.cl" TargetMode="External"/><Relationship Id="rId52" Type="http://schemas.openxmlformats.org/officeDocument/2006/relationships/hyperlink" Target="mailto:mmartin@homemobili.cl%20;jzapata@homemobili.cl" TargetMode="External"/><Relationship Id="rId4" Type="http://schemas.openxmlformats.org/officeDocument/2006/relationships/hyperlink" Target="mailto:cosorio@13.cl" TargetMode="External"/><Relationship Id="rId9" Type="http://schemas.openxmlformats.org/officeDocument/2006/relationships/hyperlink" Target="mailto:fahumada@ext.defontana.com" TargetMode="External"/><Relationship Id="rId14" Type="http://schemas.openxmlformats.org/officeDocument/2006/relationships/hyperlink" Target="mailto:estefany.medrano@tisal.cl" TargetMode="External"/><Relationship Id="rId22" Type="http://schemas.openxmlformats.org/officeDocument/2006/relationships/hyperlink" Target="mailto:mcardenas@fundacionportas.cl" TargetMode="External"/><Relationship Id="rId27" Type="http://schemas.openxmlformats.org/officeDocument/2006/relationships/hyperlink" Target="mailto:cmoralesp@fylingenieria.cl" TargetMode="External"/><Relationship Id="rId30" Type="http://schemas.openxmlformats.org/officeDocument/2006/relationships/hyperlink" Target="mailto:patsy.silva@cae.com" TargetMode="External"/><Relationship Id="rId35" Type="http://schemas.openxmlformats.org/officeDocument/2006/relationships/hyperlink" Target="mailto:dsoto@tercop.cl" TargetMode="External"/><Relationship Id="rId43" Type="http://schemas.openxmlformats.org/officeDocument/2006/relationships/hyperlink" Target="mailto:samsaaromas.adm@gmail.com" TargetMode="External"/><Relationship Id="rId48" Type="http://schemas.openxmlformats.org/officeDocument/2006/relationships/hyperlink" Target="mailto:alupallante@bottai.cl" TargetMode="External"/><Relationship Id="rId8" Type="http://schemas.openxmlformats.org/officeDocument/2006/relationships/hyperlink" Target="mailto:romina_antilef@wvi.org" TargetMode="External"/><Relationship Id="rId51" Type="http://schemas.openxmlformats.org/officeDocument/2006/relationships/hyperlink" Target="mailto:ncampos@coaniquem.org%20;francisca.anabalon@coanil.cl" TargetMode="External"/><Relationship Id="rId3" Type="http://schemas.openxmlformats.org/officeDocument/2006/relationships/hyperlink" Target="mailto:Pvelasquez@ALSACIAREPUESTOS.CL" TargetMode="External"/><Relationship Id="rId12" Type="http://schemas.openxmlformats.org/officeDocument/2006/relationships/hyperlink" Target="mailto:rcuellar@caribeanpharma.cl" TargetMode="External"/><Relationship Id="rId17" Type="http://schemas.openxmlformats.org/officeDocument/2006/relationships/hyperlink" Target="mailto:rmanquenirp@aerosan.com" TargetMode="External"/><Relationship Id="rId25" Type="http://schemas.openxmlformats.org/officeDocument/2006/relationships/hyperlink" Target="mailto:miguel.irala@justburger.com" TargetMode="External"/><Relationship Id="rId33" Type="http://schemas.openxmlformats.org/officeDocument/2006/relationships/hyperlink" Target="mailto:fmoraga@cathpro.cl" TargetMode="External"/><Relationship Id="rId38" Type="http://schemas.openxmlformats.org/officeDocument/2006/relationships/hyperlink" Target="mailto:daniela.gonzalez@nebulan.com" TargetMode="External"/><Relationship Id="rId46" Type="http://schemas.openxmlformats.org/officeDocument/2006/relationships/hyperlink" Target="mailto:Nicole.Nunez@AFPCapital.cl" TargetMode="External"/><Relationship Id="rId20" Type="http://schemas.openxmlformats.org/officeDocument/2006/relationships/hyperlink" Target="mailto:pjabalquinto@agrosonda.cl" TargetMode="External"/><Relationship Id="rId41" Type="http://schemas.openxmlformats.org/officeDocument/2006/relationships/hyperlink" Target="mailto:tduque@lonchera.cl" TargetMode="External"/><Relationship Id="rId54" Type="http://schemas.openxmlformats.org/officeDocument/2006/relationships/table" Target="../tables/table1.xml"/><Relationship Id="rId1" Type="http://schemas.openxmlformats.org/officeDocument/2006/relationships/hyperlink" Target="mailto:alfonso.flores@tanner.cl" TargetMode="External"/><Relationship Id="rId6" Type="http://schemas.openxmlformats.org/officeDocument/2006/relationships/hyperlink" Target="mailto:lverdugo@clubmanquehue.cl" TargetMode="External"/><Relationship Id="rId15" Type="http://schemas.openxmlformats.org/officeDocument/2006/relationships/hyperlink" Target="mailto:ysandoval@plangroup.cl" TargetMode="External"/><Relationship Id="rId23" Type="http://schemas.openxmlformats.org/officeDocument/2006/relationships/hyperlink" Target="mailto:valentina@lk.cl" TargetMode="External"/><Relationship Id="rId28" Type="http://schemas.openxmlformats.org/officeDocument/2006/relationships/hyperlink" Target="mailto:bryan.montenegro@nuevopudahuel.cl" TargetMode="External"/><Relationship Id="rId36" Type="http://schemas.openxmlformats.org/officeDocument/2006/relationships/hyperlink" Target="mailto:luis.caceres@wetransport.cl" TargetMode="External"/><Relationship Id="rId49" Type="http://schemas.openxmlformats.org/officeDocument/2006/relationships/hyperlink" Target="mailto:Rodrigo.cazanga@decathlon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cornejo@empiricaconsultores.cl" TargetMode="External"/><Relationship Id="rId18" Type="http://schemas.openxmlformats.org/officeDocument/2006/relationships/hyperlink" Target="mailto:lisette.molina@keyproingenieria.com" TargetMode="External"/><Relationship Id="rId26" Type="http://schemas.openxmlformats.org/officeDocument/2006/relationships/hyperlink" Target="mailto:lverdugo@clubmanquehue.cl" TargetMode="External"/><Relationship Id="rId39" Type="http://schemas.openxmlformats.org/officeDocument/2006/relationships/hyperlink" Target="mailto:fmunoz@geoinnova.cl" TargetMode="External"/><Relationship Id="rId21" Type="http://schemas.openxmlformats.org/officeDocument/2006/relationships/hyperlink" Target="mailto:patsy.silva@cae.com" TargetMode="External"/><Relationship Id="rId34" Type="http://schemas.openxmlformats.org/officeDocument/2006/relationships/hyperlink" Target="mailto:ncampos@coaniquem.org%20;francisca.anabalon@coanil.cl" TargetMode="External"/><Relationship Id="rId42" Type="http://schemas.openxmlformats.org/officeDocument/2006/relationships/hyperlink" Target="mailto:alfonso.flores@tanner.cl" TargetMode="External"/><Relationship Id="rId47" Type="http://schemas.openxmlformats.org/officeDocument/2006/relationships/hyperlink" Target="mailto:andres.pinchart@equifax.com" TargetMode="External"/><Relationship Id="rId50" Type="http://schemas.openxmlformats.org/officeDocument/2006/relationships/hyperlink" Target="mailto:daniela.gonzalez@nebulan.com" TargetMode="External"/><Relationship Id="rId55" Type="http://schemas.openxmlformats.org/officeDocument/2006/relationships/hyperlink" Target="mailto:david.millie@oxiquim.com" TargetMode="External"/><Relationship Id="rId7" Type="http://schemas.openxmlformats.org/officeDocument/2006/relationships/hyperlink" Target="mailto:cgc.asesor@gmail.com" TargetMode="External"/><Relationship Id="rId2" Type="http://schemas.openxmlformats.org/officeDocument/2006/relationships/hyperlink" Target="mailto:pamela.casanova@pfalimentos.cl" TargetMode="External"/><Relationship Id="rId16" Type="http://schemas.openxmlformats.org/officeDocument/2006/relationships/hyperlink" Target="mailto:blevin@massiva.cl" TargetMode="External"/><Relationship Id="rId29" Type="http://schemas.openxmlformats.org/officeDocument/2006/relationships/hyperlink" Target="mailto:estefany.medrano@tisal.cl" TargetMode="External"/><Relationship Id="rId11" Type="http://schemas.openxmlformats.org/officeDocument/2006/relationships/hyperlink" Target="mailto:psoto@moreau.ca,%20" TargetMode="External"/><Relationship Id="rId24" Type="http://schemas.openxmlformats.org/officeDocument/2006/relationships/hyperlink" Target="mailto:luis.caceres@wetransport.cl" TargetMode="External"/><Relationship Id="rId32" Type="http://schemas.openxmlformats.org/officeDocument/2006/relationships/hyperlink" Target="mailto:gbarrios@dimacofi.cl" TargetMode="External"/><Relationship Id="rId37" Type="http://schemas.openxmlformats.org/officeDocument/2006/relationships/hyperlink" Target="mailto:mcardenas@fundacionportas.cl" TargetMode="External"/><Relationship Id="rId40" Type="http://schemas.openxmlformats.org/officeDocument/2006/relationships/hyperlink" Target="mailto:asistente@metalmac.net" TargetMode="External"/><Relationship Id="rId45" Type="http://schemas.openxmlformats.org/officeDocument/2006/relationships/hyperlink" Target="mailto:rmanquenirp@aerosan.com" TargetMode="External"/><Relationship Id="rId53" Type="http://schemas.openxmlformats.org/officeDocument/2006/relationships/hyperlink" Target="mailto:tayse.kusterko@nhecotech.com" TargetMode="External"/><Relationship Id="rId58" Type="http://schemas.openxmlformats.org/officeDocument/2006/relationships/hyperlink" Target="mailto:catalina.mejias@gbeauty.cl" TargetMode="External"/><Relationship Id="rId5" Type="http://schemas.openxmlformats.org/officeDocument/2006/relationships/hyperlink" Target="mailto:pedro.caballero@gxo.com" TargetMode="External"/><Relationship Id="rId61" Type="http://schemas.openxmlformats.org/officeDocument/2006/relationships/table" Target="../tables/table2.xml"/><Relationship Id="rId19" Type="http://schemas.openxmlformats.org/officeDocument/2006/relationships/hyperlink" Target="mailto:cristhian.gallardo@haulmer.com" TargetMode="External"/><Relationship Id="rId14" Type="http://schemas.openxmlformats.org/officeDocument/2006/relationships/hyperlink" Target="mailto:veronica.lagos@aliservice.cl" TargetMode="External"/><Relationship Id="rId22" Type="http://schemas.openxmlformats.org/officeDocument/2006/relationships/hyperlink" Target="mailto:tmarquardt@terraignota.cl" TargetMode="External"/><Relationship Id="rId27" Type="http://schemas.openxmlformats.org/officeDocument/2006/relationships/hyperlink" Target="mailto:susana.barros@bitumix.cl" TargetMode="External"/><Relationship Id="rId30" Type="http://schemas.openxmlformats.org/officeDocument/2006/relationships/hyperlink" Target="mailto:ysandoval@plangroup.cl" TargetMode="External"/><Relationship Id="rId35" Type="http://schemas.openxmlformats.org/officeDocument/2006/relationships/hyperlink" Target="mailto:poteiza@clinicaterre.cl" TargetMode="External"/><Relationship Id="rId43" Type="http://schemas.openxmlformats.org/officeDocument/2006/relationships/hyperlink" Target="mailto:cosorio@13.cl" TargetMode="External"/><Relationship Id="rId48" Type="http://schemas.openxmlformats.org/officeDocument/2006/relationships/hyperlink" Target="mailto:miguel.irala@justburger.com" TargetMode="External"/><Relationship Id="rId56" Type="http://schemas.openxmlformats.org/officeDocument/2006/relationships/hyperlink" Target="mailto:carolina.klenner@psinet.cl" TargetMode="External"/><Relationship Id="rId8" Type="http://schemas.openxmlformats.org/officeDocument/2006/relationships/hyperlink" Target="mailto:Liliana.Morales@afpcapital.cl" TargetMode="External"/><Relationship Id="rId51" Type="http://schemas.openxmlformats.org/officeDocument/2006/relationships/hyperlink" Target="mailto:Rodrigo.cazanga@decathlon.com" TargetMode="External"/><Relationship Id="rId3" Type="http://schemas.openxmlformats.org/officeDocument/2006/relationships/hyperlink" Target="mailto:jeannette.retamal@heavenward.cl" TargetMode="External"/><Relationship Id="rId12" Type="http://schemas.openxmlformats.org/officeDocument/2006/relationships/hyperlink" Target="mailto:fpinares@uft.cl%20,kpoblete@uft.cl" TargetMode="External"/><Relationship Id="rId17" Type="http://schemas.openxmlformats.org/officeDocument/2006/relationships/hyperlink" Target="mailto:ypino@cordesan.cl" TargetMode="External"/><Relationship Id="rId25" Type="http://schemas.openxmlformats.org/officeDocument/2006/relationships/hyperlink" Target="mailto:kdominguez@dpgchile.cl" TargetMode="External"/><Relationship Id="rId33" Type="http://schemas.openxmlformats.org/officeDocument/2006/relationships/hyperlink" Target="mailto:cristopher.munoz@ingesat.cl" TargetMode="External"/><Relationship Id="rId38" Type="http://schemas.openxmlformats.org/officeDocument/2006/relationships/hyperlink" Target="mailto:valentina@lk.cl" TargetMode="External"/><Relationship Id="rId46" Type="http://schemas.openxmlformats.org/officeDocument/2006/relationships/hyperlink" Target="mailto:barbaramartinez@edudown.cl" TargetMode="External"/><Relationship Id="rId59" Type="http://schemas.openxmlformats.org/officeDocument/2006/relationships/hyperlink" Target="mailto:yulia@tusdeudas.com" TargetMode="External"/><Relationship Id="rId20" Type="http://schemas.openxmlformats.org/officeDocument/2006/relationships/hyperlink" Target="mailto:sroudergue@genera.cl" TargetMode="External"/><Relationship Id="rId41" Type="http://schemas.openxmlformats.org/officeDocument/2006/relationships/hyperlink" Target="mailto:mmartin@homemobili.cl%20;jzapata@homemobili.cl" TargetMode="External"/><Relationship Id="rId54" Type="http://schemas.openxmlformats.org/officeDocument/2006/relationships/hyperlink" Target="mailto:rodrigo.giudicissi@karcher.com" TargetMode="External"/><Relationship Id="rId1" Type="http://schemas.openxmlformats.org/officeDocument/2006/relationships/hyperlink" Target="mailto:fernanda.olmos@grupolagos.cl" TargetMode="External"/><Relationship Id="rId6" Type="http://schemas.openxmlformats.org/officeDocument/2006/relationships/hyperlink" Target="mailto:vfritz@alemana.cl" TargetMode="External"/><Relationship Id="rId15" Type="http://schemas.openxmlformats.org/officeDocument/2006/relationships/hyperlink" Target="mailto:angelain.merino@voysantiago.cl" TargetMode="External"/><Relationship Id="rId23" Type="http://schemas.openxmlformats.org/officeDocument/2006/relationships/hyperlink" Target="mailto:dgarrido@losalemanes.cl" TargetMode="External"/><Relationship Id="rId28" Type="http://schemas.openxmlformats.org/officeDocument/2006/relationships/hyperlink" Target="mailto:katherine.lecaros@amphos21.com" TargetMode="External"/><Relationship Id="rId36" Type="http://schemas.openxmlformats.org/officeDocument/2006/relationships/hyperlink" Target="mailto:romina_antilef@wvi.org" TargetMode="External"/><Relationship Id="rId49" Type="http://schemas.openxmlformats.org/officeDocument/2006/relationships/hyperlink" Target="mailto:cmoralesp@fylingenieria.cl" TargetMode="External"/><Relationship Id="rId57" Type="http://schemas.openxmlformats.org/officeDocument/2006/relationships/hyperlink" Target="mailto:jhanmary.molina@psinet.cl" TargetMode="External"/><Relationship Id="rId10" Type="http://schemas.openxmlformats.org/officeDocument/2006/relationships/hyperlink" Target="mailto:dsolsona@frgroup.cl" TargetMode="External"/><Relationship Id="rId31" Type="http://schemas.openxmlformats.org/officeDocument/2006/relationships/hyperlink" Target="mailto:pjabalquinto@agrosonda.cl" TargetMode="External"/><Relationship Id="rId44" Type="http://schemas.openxmlformats.org/officeDocument/2006/relationships/hyperlink" Target="mailto:gabriela.helman@surainvestments.com" TargetMode="External"/><Relationship Id="rId52" Type="http://schemas.openxmlformats.org/officeDocument/2006/relationships/hyperlink" Target="mailto:fbollo@fundicionlasrosas.cl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Fernanda.Nunez@fourpoints.com,%20" TargetMode="External"/><Relationship Id="rId9" Type="http://schemas.openxmlformats.org/officeDocument/2006/relationships/hyperlink" Target="mailto:fhevias@saam.c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7898-9BEE-4707-BC61-B65A51FD3C59}">
  <dimension ref="A1:X141"/>
  <sheetViews>
    <sheetView showGridLines="0" zoomScale="80" zoomScaleNormal="80" workbookViewId="0">
      <selection activeCell="C53" sqref="B53:C53"/>
    </sheetView>
  </sheetViews>
  <sheetFormatPr baseColWidth="10" defaultColWidth="11.42578125" defaultRowHeight="15" x14ac:dyDescent="0.25"/>
  <cols>
    <col min="1" max="1" width="8.140625" style="5" bestFit="1" customWidth="1"/>
    <col min="2" max="3" width="32" style="102" customWidth="1"/>
    <col min="4" max="4" width="20.140625" style="102" bestFit="1" customWidth="1"/>
    <col min="5" max="5" width="7.42578125" style="5" bestFit="1" customWidth="1"/>
    <col min="6" max="6" width="22.28515625" style="103" customWidth="1"/>
    <col min="7" max="7" width="21" style="5" customWidth="1"/>
    <col min="8" max="8" width="16.7109375" style="5" customWidth="1"/>
    <col min="9" max="9" width="17.5703125" style="5" customWidth="1"/>
    <col min="10" max="10" width="13.42578125" style="5" customWidth="1"/>
    <col min="11" max="11" width="20.7109375" style="5" customWidth="1"/>
    <col min="12" max="12" width="12.140625" style="5" customWidth="1"/>
    <col min="13" max="13" width="25.140625" style="104" customWidth="1"/>
    <col min="14" max="14" width="27" style="5" customWidth="1"/>
    <col min="15" max="16" width="14.5703125" style="5" bestFit="1" customWidth="1"/>
    <col min="17" max="17" width="26.85546875" style="5" bestFit="1" customWidth="1"/>
    <col min="18" max="18" width="77" style="5" bestFit="1" customWidth="1"/>
    <col min="19" max="19" width="61" style="5" bestFit="1" customWidth="1"/>
    <col min="20" max="20" width="11.140625" style="5" bestFit="1" customWidth="1"/>
    <col min="21" max="22" width="11.42578125" style="5"/>
    <col min="23" max="23" width="28.5703125" style="5" bestFit="1" customWidth="1"/>
    <col min="24" max="24" width="27" style="5" bestFit="1" customWidth="1"/>
    <col min="25" max="16384" width="11.42578125" style="5"/>
  </cols>
  <sheetData>
    <row r="1" spans="1:24" ht="45" x14ac:dyDescent="0.25">
      <c r="A1" s="38" t="s">
        <v>0</v>
      </c>
      <c r="B1" s="39" t="s">
        <v>149</v>
      </c>
      <c r="C1" s="39" t="s">
        <v>966</v>
      </c>
      <c r="D1" s="132" t="s">
        <v>671</v>
      </c>
      <c r="E1" s="39" t="s">
        <v>150</v>
      </c>
      <c r="F1" s="40" t="s">
        <v>151</v>
      </c>
      <c r="G1" s="41" t="s">
        <v>1</v>
      </c>
      <c r="H1" s="39" t="s">
        <v>2</v>
      </c>
      <c r="I1" s="39" t="s">
        <v>3</v>
      </c>
      <c r="J1" s="39" t="s">
        <v>4</v>
      </c>
      <c r="K1" s="39" t="s">
        <v>152</v>
      </c>
      <c r="L1" s="39" t="s">
        <v>153</v>
      </c>
      <c r="M1" s="39" t="s">
        <v>5</v>
      </c>
      <c r="N1" s="42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43" t="s">
        <v>154</v>
      </c>
      <c r="X1" s="44" t="s">
        <v>6</v>
      </c>
    </row>
    <row r="2" spans="1:24" hidden="1" x14ac:dyDescent="0.25">
      <c r="A2" s="45">
        <v>1</v>
      </c>
      <c r="B2" s="1" t="s">
        <v>155</v>
      </c>
      <c r="C2" s="1" t="e">
        <f>VLOOKUP(Tabla2[[#This Row],[Empresa / Holding]],Tabla1[[#Headers],[#Data],[HOLDING]],1,0)</f>
        <v>#N/A</v>
      </c>
      <c r="D2" s="1"/>
      <c r="E2" s="46">
        <v>2025</v>
      </c>
      <c r="F2" s="2" t="s">
        <v>156</v>
      </c>
      <c r="G2" s="47">
        <v>90000000</v>
      </c>
      <c r="H2" s="48">
        <v>0.04</v>
      </c>
      <c r="I2" s="49">
        <f>Tabla2[[#This Row],[Monto 1% u Aporte ]]*Tabla2[[#This Row],[Tasa Propuesta Administración OTIC]]</f>
        <v>3600000</v>
      </c>
      <c r="J2" s="2" t="s">
        <v>157</v>
      </c>
      <c r="K2" s="2" t="s">
        <v>158</v>
      </c>
      <c r="L2" s="2" t="s">
        <v>159</v>
      </c>
      <c r="M2" s="2" t="s">
        <v>28</v>
      </c>
      <c r="N2" s="10" t="s">
        <v>13</v>
      </c>
      <c r="O2" s="47">
        <v>70000000</v>
      </c>
      <c r="P2" s="50">
        <f>Tabla2[[#This Row],[Aporte Ingresado]]-Tabla2[[#This Row],[Monto 1% u Aporte ]]</f>
        <v>-20000000</v>
      </c>
      <c r="Q2" s="2" t="s">
        <v>160</v>
      </c>
      <c r="R2" s="2" t="s">
        <v>161</v>
      </c>
      <c r="S2" s="2" t="s">
        <v>162</v>
      </c>
      <c r="T2" s="51"/>
      <c r="X2" s="52" t="s">
        <v>13</v>
      </c>
    </row>
    <row r="3" spans="1:24" hidden="1" x14ac:dyDescent="0.25">
      <c r="A3" s="45">
        <f t="shared" ref="A3:A34" si="0">A2+1</f>
        <v>2</v>
      </c>
      <c r="B3" s="1" t="s">
        <v>219</v>
      </c>
      <c r="C3" s="1" t="e">
        <f>VLOOKUP(Tabla2[[#This Row],[Empresa / Holding]],Tabla1[[#Headers],[#Data],[HOLDING]],1,0)</f>
        <v>#N/A</v>
      </c>
      <c r="D3" s="1"/>
      <c r="E3" s="46">
        <v>2025</v>
      </c>
      <c r="F3" s="2" t="s">
        <v>220</v>
      </c>
      <c r="G3" s="47">
        <v>8000000</v>
      </c>
      <c r="H3" s="48">
        <v>0.1</v>
      </c>
      <c r="I3" s="49">
        <f>Tabla2[[#This Row],[Monto 1% u Aporte ]]*Tabla2[[#This Row],[Tasa Propuesta Administración OTIC]]</f>
        <v>800000</v>
      </c>
      <c r="J3" s="2" t="s">
        <v>221</v>
      </c>
      <c r="K3" s="2" t="s">
        <v>171</v>
      </c>
      <c r="L3" s="2" t="s">
        <v>159</v>
      </c>
      <c r="M3" s="2" t="s">
        <v>222</v>
      </c>
      <c r="N3" s="10" t="s">
        <v>13</v>
      </c>
      <c r="O3" s="47">
        <v>5000000</v>
      </c>
      <c r="P3" s="47">
        <f>Tabla2[[#This Row],[Aporte Ingresado]]-Tabla2[[#This Row],[Monto 1% u Aporte ]]</f>
        <v>-3000000</v>
      </c>
      <c r="Q3" s="47" t="s">
        <v>223</v>
      </c>
      <c r="R3" s="61" t="s">
        <v>224</v>
      </c>
      <c r="S3" s="2"/>
      <c r="T3" s="51">
        <v>45982</v>
      </c>
      <c r="X3" s="54" t="s">
        <v>14</v>
      </c>
    </row>
    <row r="4" spans="1:24" hidden="1" x14ac:dyDescent="0.25">
      <c r="A4" s="45">
        <f t="shared" si="0"/>
        <v>3</v>
      </c>
      <c r="B4" s="1" t="s">
        <v>202</v>
      </c>
      <c r="C4" s="1" t="e">
        <f>VLOOKUP(Tabla2[[#This Row],[Empresa / Holding]],Tabla1[[#Headers],[#Data],[HOLDING]],1,0)</f>
        <v>#N/A</v>
      </c>
      <c r="D4" s="1"/>
      <c r="E4" s="46">
        <v>2025</v>
      </c>
      <c r="F4" s="2"/>
      <c r="G4" s="58">
        <v>3782433</v>
      </c>
      <c r="H4" s="48">
        <v>0.15</v>
      </c>
      <c r="I4" s="49">
        <v>567364.94999999995</v>
      </c>
      <c r="J4" s="2" t="s">
        <v>164</v>
      </c>
      <c r="K4" s="2" t="s">
        <v>171</v>
      </c>
      <c r="L4" s="2" t="s">
        <v>159</v>
      </c>
      <c r="M4" s="2" t="s">
        <v>176</v>
      </c>
      <c r="N4" s="2" t="s">
        <v>13</v>
      </c>
      <c r="O4" s="47">
        <v>3500000</v>
      </c>
      <c r="P4" s="50">
        <f>Tabla2[[#This Row],[Aporte Ingresado]]-Tabla2[[#This Row],[Monto 1% u Aporte ]]</f>
        <v>-282433</v>
      </c>
      <c r="Q4" s="50" t="s">
        <v>203</v>
      </c>
      <c r="R4" s="59" t="s">
        <v>204</v>
      </c>
      <c r="S4" s="2"/>
      <c r="T4" s="51"/>
      <c r="X4" s="55" t="s">
        <v>15</v>
      </c>
    </row>
    <row r="5" spans="1:24" hidden="1" x14ac:dyDescent="0.25">
      <c r="A5" s="45">
        <f t="shared" si="0"/>
        <v>4</v>
      </c>
      <c r="B5" s="1" t="s">
        <v>169</v>
      </c>
      <c r="C5" s="1" t="e">
        <f>VLOOKUP(Tabla2[[#This Row],[Empresa / Holding]],Tabla1[[#Headers],[#Data],[HOLDING]],1,0)</f>
        <v>#N/A</v>
      </c>
      <c r="D5" s="1"/>
      <c r="E5" s="46">
        <v>2025</v>
      </c>
      <c r="F5" s="2" t="s">
        <v>170</v>
      </c>
      <c r="G5" s="47">
        <v>30000000</v>
      </c>
      <c r="H5" s="48">
        <v>0.08</v>
      </c>
      <c r="I5" s="49">
        <f>Tabla2[[#This Row],[Monto 1% u Aporte ]]*Tabla2[[#This Row],[Tasa Propuesta Administración OTIC]]</f>
        <v>2400000</v>
      </c>
      <c r="J5" s="2" t="s">
        <v>164</v>
      </c>
      <c r="K5" s="2" t="s">
        <v>171</v>
      </c>
      <c r="L5" s="2" t="s">
        <v>159</v>
      </c>
      <c r="M5" s="2" t="s">
        <v>166</v>
      </c>
      <c r="N5" s="10" t="s">
        <v>13</v>
      </c>
      <c r="O5" s="47">
        <v>28000000</v>
      </c>
      <c r="P5" s="50">
        <f>Tabla2[[#This Row],[Aporte Ingresado]]-Tabla2[[#This Row],[Monto 1% u Aporte ]]</f>
        <v>-2000000</v>
      </c>
      <c r="Q5" s="2" t="s">
        <v>172</v>
      </c>
      <c r="R5" s="53" t="s">
        <v>173</v>
      </c>
      <c r="S5" s="2" t="s">
        <v>162</v>
      </c>
      <c r="T5" s="51"/>
      <c r="X5" s="56" t="s">
        <v>179</v>
      </c>
    </row>
    <row r="6" spans="1:24" hidden="1" x14ac:dyDescent="0.25">
      <c r="A6" s="45">
        <f t="shared" si="0"/>
        <v>5</v>
      </c>
      <c r="B6" s="1" t="s">
        <v>211</v>
      </c>
      <c r="C6" s="1" t="e">
        <f>VLOOKUP(Tabla2[[#This Row],[Empresa / Holding]],Tabla1[[#Headers],[#Data],[HOLDING]],1,0)</f>
        <v>#N/A</v>
      </c>
      <c r="D6" s="1"/>
      <c r="E6" s="46">
        <v>2025</v>
      </c>
      <c r="F6" s="2"/>
      <c r="G6" s="47">
        <v>8500000</v>
      </c>
      <c r="H6" s="48">
        <v>0.1</v>
      </c>
      <c r="I6" s="49">
        <f>Tabla2[[#This Row],[Monto 1% u Aporte ]]*Tabla2[[#This Row],[Tasa Propuesta Administración OTIC]]</f>
        <v>850000</v>
      </c>
      <c r="J6" s="2" t="s">
        <v>164</v>
      </c>
      <c r="K6" s="2" t="s">
        <v>212</v>
      </c>
      <c r="L6" s="2" t="s">
        <v>159</v>
      </c>
      <c r="M6" s="2" t="s">
        <v>166</v>
      </c>
      <c r="N6" s="10" t="s">
        <v>13</v>
      </c>
      <c r="O6" s="47">
        <v>2000000</v>
      </c>
      <c r="P6" s="50">
        <f>Tabla2[[#This Row],[Aporte Ingresado]]-Tabla2[[#This Row],[Monto 1% u Aporte ]]</f>
        <v>-6500000</v>
      </c>
      <c r="Q6" s="2" t="s">
        <v>213</v>
      </c>
      <c r="R6" s="53" t="s">
        <v>214</v>
      </c>
      <c r="S6" s="2" t="s">
        <v>215</v>
      </c>
      <c r="T6" s="51"/>
      <c r="X6" s="57" t="s">
        <v>184</v>
      </c>
    </row>
    <row r="7" spans="1:24" hidden="1" x14ac:dyDescent="0.25">
      <c r="A7" s="45">
        <f t="shared" si="0"/>
        <v>6</v>
      </c>
      <c r="B7" s="1" t="s">
        <v>315</v>
      </c>
      <c r="C7" s="1" t="e">
        <f>VLOOKUP(Tabla2[[#This Row],[Empresa / Holding]],Tabla1[[#Headers],[#Data],[HOLDING]],1,0)</f>
        <v>#N/A</v>
      </c>
      <c r="D7" s="1"/>
      <c r="E7" s="46">
        <v>2025</v>
      </c>
      <c r="F7" s="2"/>
      <c r="G7" s="50">
        <v>0</v>
      </c>
      <c r="H7" s="48">
        <v>0.15</v>
      </c>
      <c r="I7" s="49">
        <v>7900000</v>
      </c>
      <c r="J7" s="2" t="s">
        <v>164</v>
      </c>
      <c r="K7" s="2" t="s">
        <v>207</v>
      </c>
      <c r="L7" s="2" t="s">
        <v>159</v>
      </c>
      <c r="M7" s="2" t="s">
        <v>235</v>
      </c>
      <c r="N7" s="10" t="s">
        <v>13</v>
      </c>
      <c r="O7" s="47">
        <v>7900000</v>
      </c>
      <c r="P7" s="50"/>
      <c r="Q7" s="50"/>
      <c r="R7" s="50"/>
      <c r="S7" s="2"/>
      <c r="T7" s="51"/>
    </row>
    <row r="8" spans="1:24" hidden="1" x14ac:dyDescent="0.25">
      <c r="A8" s="45">
        <f t="shared" si="0"/>
        <v>7</v>
      </c>
      <c r="B8" s="1" t="s">
        <v>296</v>
      </c>
      <c r="C8" s="1" t="e">
        <f>VLOOKUP(Tabla2[[#This Row],[Empresa / Holding]],Tabla1[[#Headers],[#Data],[HOLDING]],1,0)</f>
        <v>#N/A</v>
      </c>
      <c r="D8" s="1"/>
      <c r="E8" s="46">
        <v>2025</v>
      </c>
      <c r="F8" s="2" t="s">
        <v>288</v>
      </c>
      <c r="G8" s="47">
        <v>12000000</v>
      </c>
      <c r="H8" s="48">
        <v>0.1</v>
      </c>
      <c r="I8" s="49">
        <f>Tabla2[[#This Row],[Monto 1% u Aporte ]]*Tabla2[[#This Row],[Tasa Propuesta Administración OTIC]]</f>
        <v>1200000</v>
      </c>
      <c r="J8" s="2" t="s">
        <v>164</v>
      </c>
      <c r="K8" s="2" t="s">
        <v>207</v>
      </c>
      <c r="L8" s="2" t="s">
        <v>297</v>
      </c>
      <c r="M8" s="2" t="s">
        <v>298</v>
      </c>
      <c r="N8" s="10" t="s">
        <v>13</v>
      </c>
      <c r="O8" s="47">
        <v>12341393</v>
      </c>
      <c r="P8" s="50">
        <f>Tabla2[[#This Row],[Aporte Ingresado]]-Tabla2[[#This Row],[Monto 1% u Aporte ]]</f>
        <v>341393</v>
      </c>
      <c r="Q8" s="50"/>
      <c r="R8" s="50"/>
      <c r="S8" s="2"/>
      <c r="T8" s="51"/>
    </row>
    <row r="9" spans="1:24" hidden="1" x14ac:dyDescent="0.25">
      <c r="A9" s="45">
        <f t="shared" si="0"/>
        <v>8</v>
      </c>
      <c r="B9" s="1" t="s">
        <v>304</v>
      </c>
      <c r="C9" s="1" t="e">
        <f>VLOOKUP(Tabla2[[#This Row],[Empresa / Holding]],Tabla1[[#Headers],[#Data],[HOLDING]],1,0)</f>
        <v>#N/A</v>
      </c>
      <c r="D9" s="1"/>
      <c r="E9" s="46">
        <v>2025</v>
      </c>
      <c r="F9" s="2"/>
      <c r="G9" s="47">
        <v>0</v>
      </c>
      <c r="H9" s="48">
        <v>0</v>
      </c>
      <c r="I9" s="47">
        <v>4662849</v>
      </c>
      <c r="J9" s="2" t="s">
        <v>164</v>
      </c>
      <c r="K9" s="2" t="s">
        <v>207</v>
      </c>
      <c r="L9" s="2" t="s">
        <v>159</v>
      </c>
      <c r="M9" s="2" t="s">
        <v>235</v>
      </c>
      <c r="N9" s="10" t="s">
        <v>13</v>
      </c>
      <c r="O9" s="47">
        <v>4662849</v>
      </c>
      <c r="P9" s="50">
        <f>Tabla2[[#This Row],[Aporte Ingresado]]-Tabla2[[#This Row],[Monto 1% u Aporte ]]</f>
        <v>4662849</v>
      </c>
      <c r="Q9" s="50" t="s">
        <v>305</v>
      </c>
      <c r="R9" s="50" t="s">
        <v>306</v>
      </c>
      <c r="S9" s="2"/>
      <c r="T9" s="51"/>
    </row>
    <row r="10" spans="1:24" hidden="1" x14ac:dyDescent="0.25">
      <c r="A10" s="45">
        <f t="shared" si="0"/>
        <v>9</v>
      </c>
      <c r="B10" s="1" t="s">
        <v>308</v>
      </c>
      <c r="C10" s="1" t="e">
        <f>VLOOKUP(Tabla2[[#This Row],[Empresa / Holding]],Tabla1[[#Headers],[#Data],[HOLDING]],1,0)</f>
        <v>#N/A</v>
      </c>
      <c r="D10" s="1"/>
      <c r="E10" s="46">
        <v>2025</v>
      </c>
      <c r="F10" s="2"/>
      <c r="G10" s="47">
        <v>0</v>
      </c>
      <c r="H10" s="48">
        <v>0.15</v>
      </c>
      <c r="I10" s="47">
        <v>625878</v>
      </c>
      <c r="J10" s="2" t="s">
        <v>164</v>
      </c>
      <c r="K10" s="2" t="s">
        <v>207</v>
      </c>
      <c r="L10" s="2" t="s">
        <v>159</v>
      </c>
      <c r="M10" s="2" t="s">
        <v>222</v>
      </c>
      <c r="N10" s="10" t="s">
        <v>13</v>
      </c>
      <c r="O10" s="47">
        <v>625878</v>
      </c>
      <c r="P10" s="50">
        <f>Tabla2[[#This Row],[Aporte Ingresado]]-Tabla2[[#This Row],[Monto 1% u Aporte ]]</f>
        <v>625878</v>
      </c>
      <c r="Q10" s="50"/>
      <c r="R10" s="50"/>
      <c r="S10" s="2"/>
      <c r="T10" s="51"/>
    </row>
    <row r="11" spans="1:24" hidden="1" x14ac:dyDescent="0.25">
      <c r="A11" s="45">
        <f t="shared" si="0"/>
        <v>10</v>
      </c>
      <c r="B11" s="1" t="s">
        <v>163</v>
      </c>
      <c r="C11" s="1" t="e">
        <f>VLOOKUP(Tabla2[[#This Row],[Empresa / Holding]],Tabla1[[#Headers],[#Data],[HOLDING]],1,0)</f>
        <v>#N/A</v>
      </c>
      <c r="D11" s="1"/>
      <c r="E11" s="46">
        <v>2025</v>
      </c>
      <c r="F11" s="2" t="s">
        <v>156</v>
      </c>
      <c r="G11" s="47">
        <v>30000000</v>
      </c>
      <c r="H11" s="48">
        <v>7.0000000000000007E-2</v>
      </c>
      <c r="I11" s="49">
        <f>Tabla2[[#This Row],[Monto 1% u Aporte ]]*Tabla2[[#This Row],[Tasa Propuesta Administración OTIC]]</f>
        <v>2100000</v>
      </c>
      <c r="J11" s="2" t="s">
        <v>164</v>
      </c>
      <c r="K11" s="2" t="s">
        <v>165</v>
      </c>
      <c r="L11" s="2" t="s">
        <v>159</v>
      </c>
      <c r="M11" s="2" t="s">
        <v>166</v>
      </c>
      <c r="N11" s="10" t="s">
        <v>13</v>
      </c>
      <c r="O11" s="47">
        <v>9000000</v>
      </c>
      <c r="P11" s="50">
        <f>Tabla2[[#This Row],[Aporte Ingresado]]-Tabla2[[#This Row],[Monto 1% u Aporte ]]</f>
        <v>-21000000</v>
      </c>
      <c r="Q11" s="2" t="s">
        <v>167</v>
      </c>
      <c r="R11" s="53" t="s">
        <v>168</v>
      </c>
      <c r="S11" s="2" t="s">
        <v>162</v>
      </c>
      <c r="T11" s="51"/>
    </row>
    <row r="12" spans="1:24" hidden="1" x14ac:dyDescent="0.25">
      <c r="A12" s="45">
        <f t="shared" si="0"/>
        <v>11</v>
      </c>
      <c r="B12" s="1" t="s">
        <v>196</v>
      </c>
      <c r="C12" s="1" t="e">
        <f>VLOOKUP(Tabla2[[#This Row],[Empresa / Holding]],Tabla1[[#Headers],[#Data],[HOLDING]],1,0)</f>
        <v>#N/A</v>
      </c>
      <c r="D12" s="1"/>
      <c r="E12" s="46">
        <v>2025</v>
      </c>
      <c r="F12" s="2"/>
      <c r="G12" s="58">
        <v>13000000</v>
      </c>
      <c r="H12" s="48">
        <v>0.12</v>
      </c>
      <c r="I12" s="49">
        <v>1560000</v>
      </c>
      <c r="J12" s="2" t="s">
        <v>164</v>
      </c>
      <c r="K12" s="2" t="s">
        <v>171</v>
      </c>
      <c r="L12" s="2" t="s">
        <v>159</v>
      </c>
      <c r="M12" s="2" t="s">
        <v>176</v>
      </c>
      <c r="N12" s="10" t="s">
        <v>13</v>
      </c>
      <c r="O12" s="47">
        <v>1145455</v>
      </c>
      <c r="P12" s="50">
        <f>Tabla2[[#This Row],[Aporte Ingresado]]-Tabla2[[#This Row],[Monto 1% u Aporte ]]</f>
        <v>-11854545</v>
      </c>
      <c r="Q12" s="50"/>
      <c r="R12" s="50"/>
      <c r="S12" s="2" t="s">
        <v>162</v>
      </c>
      <c r="T12" s="51"/>
    </row>
    <row r="13" spans="1:24" hidden="1" x14ac:dyDescent="0.25">
      <c r="A13" s="45">
        <f t="shared" si="0"/>
        <v>12</v>
      </c>
      <c r="B13" s="1" t="s">
        <v>216</v>
      </c>
      <c r="C13" s="1" t="e">
        <f>VLOOKUP(Tabla2[[#This Row],[Empresa / Holding]],Tabla1[[#Headers],[#Data],[HOLDING]],1,0)</f>
        <v>#N/A</v>
      </c>
      <c r="D13" s="1"/>
      <c r="E13" s="46">
        <v>2025</v>
      </c>
      <c r="F13" s="2" t="s">
        <v>170</v>
      </c>
      <c r="G13" s="47">
        <v>14000000</v>
      </c>
      <c r="H13" s="48">
        <v>0.09</v>
      </c>
      <c r="I13" s="49">
        <f>Tabla2[[#This Row],[Monto 1% u Aporte ]]*Tabla2[[#This Row],[Tasa Propuesta Administración OTIC]]</f>
        <v>1260000</v>
      </c>
      <c r="J13" s="2" t="s">
        <v>164</v>
      </c>
      <c r="K13" s="60" t="s">
        <v>171</v>
      </c>
      <c r="L13" s="2" t="s">
        <v>159</v>
      </c>
      <c r="M13" s="2" t="s">
        <v>28</v>
      </c>
      <c r="N13" s="10" t="s">
        <v>13</v>
      </c>
      <c r="O13" s="47">
        <v>7000000</v>
      </c>
      <c r="P13" s="47">
        <f>Tabla2[[#This Row],[Aporte Ingresado]]-Tabla2[[#This Row],[Monto 1% u Aporte ]]</f>
        <v>-7000000</v>
      </c>
      <c r="Q13" s="47" t="s">
        <v>217</v>
      </c>
      <c r="R13" s="61" t="s">
        <v>218</v>
      </c>
      <c r="S13" s="2"/>
      <c r="T13" s="62"/>
    </row>
    <row r="14" spans="1:24" hidden="1" x14ac:dyDescent="0.25">
      <c r="A14" s="45">
        <f t="shared" si="0"/>
        <v>13</v>
      </c>
      <c r="B14" s="1" t="s">
        <v>307</v>
      </c>
      <c r="C14" s="1" t="e">
        <f>VLOOKUP(Tabla2[[#This Row],[Empresa / Holding]],Tabla1[[#Headers],[#Data],[HOLDING]],1,0)</f>
        <v>#N/A</v>
      </c>
      <c r="D14" s="1"/>
      <c r="E14" s="46">
        <v>2025</v>
      </c>
      <c r="F14" s="2" t="s">
        <v>288</v>
      </c>
      <c r="G14" s="47">
        <v>2100000</v>
      </c>
      <c r="H14" s="48">
        <v>0.1</v>
      </c>
      <c r="I14" s="49">
        <f>Tabla2[[#This Row],[Monto 1% u Aporte ]]*Tabla2[[#This Row],[Tasa Propuesta Administración OTIC]]</f>
        <v>210000</v>
      </c>
      <c r="J14" s="2" t="s">
        <v>164</v>
      </c>
      <c r="K14" s="2" t="s">
        <v>207</v>
      </c>
      <c r="L14" s="2" t="s">
        <v>159</v>
      </c>
      <c r="M14" s="2" t="s">
        <v>176</v>
      </c>
      <c r="N14" s="10" t="s">
        <v>13</v>
      </c>
      <c r="O14" s="47">
        <v>2153533</v>
      </c>
      <c r="P14" s="50">
        <f>Tabla2[[#This Row],[Aporte Ingresado]]-Tabla2[[#This Row],[Monto 1% u Aporte ]]</f>
        <v>53533</v>
      </c>
      <c r="Q14" s="50"/>
      <c r="R14" s="50"/>
      <c r="S14" s="2"/>
      <c r="T14" s="51"/>
    </row>
    <row r="15" spans="1:24" hidden="1" x14ac:dyDescent="0.25">
      <c r="A15" s="45">
        <f t="shared" si="0"/>
        <v>14</v>
      </c>
      <c r="B15" s="1" t="s">
        <v>309</v>
      </c>
      <c r="C15" s="1" t="e">
        <f>VLOOKUP(Tabla2[[#This Row],[Empresa / Holding]],Tabla1[[#Headers],[#Data],[HOLDING]],1,0)</f>
        <v>#N/A</v>
      </c>
      <c r="D15" s="1"/>
      <c r="E15" s="46">
        <v>2025</v>
      </c>
      <c r="F15" s="2"/>
      <c r="G15" s="47">
        <v>0</v>
      </c>
      <c r="H15" s="48">
        <v>0.15</v>
      </c>
      <c r="I15" s="49">
        <v>941117</v>
      </c>
      <c r="J15" s="2" t="s">
        <v>164</v>
      </c>
      <c r="K15" s="2" t="s">
        <v>207</v>
      </c>
      <c r="L15" s="2" t="s">
        <v>159</v>
      </c>
      <c r="M15" s="2" t="s">
        <v>266</v>
      </c>
      <c r="N15" s="10" t="s">
        <v>13</v>
      </c>
      <c r="O15" s="47">
        <v>941117</v>
      </c>
      <c r="P15" s="50">
        <f>Tabla2[[#This Row],[Aporte Ingresado]]-Tabla2[[#This Row],[Monto 1% u Aporte ]]</f>
        <v>941117</v>
      </c>
      <c r="Q15" s="50"/>
      <c r="R15" s="50"/>
      <c r="S15" s="2"/>
      <c r="T15" s="51"/>
    </row>
    <row r="16" spans="1:24" hidden="1" x14ac:dyDescent="0.25">
      <c r="A16" s="45">
        <f t="shared" si="0"/>
        <v>15</v>
      </c>
      <c r="B16" s="1" t="s">
        <v>277</v>
      </c>
      <c r="C16" s="1" t="e">
        <f>VLOOKUP(Tabla2[[#This Row],[Empresa / Holding]],Tabla1[[#Headers],[#Data],[HOLDING]],1,0)</f>
        <v>#N/A</v>
      </c>
      <c r="D16" s="1"/>
      <c r="E16" s="46">
        <v>2025</v>
      </c>
      <c r="F16" s="2" t="s">
        <v>278</v>
      </c>
      <c r="G16" s="47">
        <v>1000000</v>
      </c>
      <c r="H16" s="48">
        <v>0.05</v>
      </c>
      <c r="I16" s="49">
        <f>Tabla2[[#This Row],[Monto 1% u Aporte ]]*Tabla2[[#This Row],[Tasa Propuesta Administración OTIC]]</f>
        <v>50000</v>
      </c>
      <c r="J16" s="2" t="s">
        <v>221</v>
      </c>
      <c r="K16" s="2" t="s">
        <v>265</v>
      </c>
      <c r="L16" s="2" t="s">
        <v>159</v>
      </c>
      <c r="M16" s="2" t="s">
        <v>28</v>
      </c>
      <c r="N16" s="10" t="s">
        <v>13</v>
      </c>
      <c r="O16" s="47">
        <v>1433590</v>
      </c>
      <c r="P16" s="50">
        <f>Tabla2[[#This Row],[Aporte Ingresado]]-Tabla2[[#This Row],[Monto 1% u Aporte ]]</f>
        <v>433590</v>
      </c>
      <c r="Q16" s="50" t="s">
        <v>279</v>
      </c>
      <c r="R16" s="59" t="s">
        <v>280</v>
      </c>
      <c r="S16" s="2"/>
      <c r="T16" s="62"/>
    </row>
    <row r="17" spans="1:20" hidden="1" x14ac:dyDescent="0.25">
      <c r="A17" s="45">
        <f t="shared" si="0"/>
        <v>16</v>
      </c>
      <c r="B17" s="1" t="s">
        <v>281</v>
      </c>
      <c r="C17" s="1" t="e">
        <f>VLOOKUP(Tabla2[[#This Row],[Empresa / Holding]],Tabla1[[#Headers],[#Data],[HOLDING]],1,0)</f>
        <v>#N/A</v>
      </c>
      <c r="D17" s="1"/>
      <c r="E17" s="46">
        <v>2025</v>
      </c>
      <c r="F17" s="2"/>
      <c r="G17" s="47">
        <v>25000000</v>
      </c>
      <c r="H17" s="48"/>
      <c r="I17" s="49">
        <f>Tabla2[[#This Row],[Monto 1% u Aporte ]]*Tabla2[[#This Row],[Tasa Propuesta Administración OTIC]]</f>
        <v>0</v>
      </c>
      <c r="J17" s="2" t="s">
        <v>164</v>
      </c>
      <c r="K17" s="2" t="s">
        <v>282</v>
      </c>
      <c r="L17" s="2" t="s">
        <v>159</v>
      </c>
      <c r="M17" s="2" t="s">
        <v>176</v>
      </c>
      <c r="N17" s="10" t="s">
        <v>13</v>
      </c>
      <c r="O17" s="47">
        <v>50000000</v>
      </c>
      <c r="P17" s="47">
        <f>Tabla2[[#This Row],[Aporte Ingresado]]-Tabla2[[#This Row],[Monto 1% u Aporte ]]</f>
        <v>25000000</v>
      </c>
      <c r="Q17" s="2"/>
      <c r="R17" s="73"/>
      <c r="S17" s="2" t="s">
        <v>175</v>
      </c>
      <c r="T17" s="51"/>
    </row>
    <row r="18" spans="1:20" hidden="1" x14ac:dyDescent="0.25">
      <c r="A18" s="45">
        <f t="shared" si="0"/>
        <v>17</v>
      </c>
      <c r="B18" s="1" t="s">
        <v>273</v>
      </c>
      <c r="C18" s="1" t="e">
        <f>VLOOKUP(Tabla2[[#This Row],[Empresa / Holding]],Tabla1[[#Headers],[#Data],[HOLDING]],1,0)</f>
        <v>#N/A</v>
      </c>
      <c r="D18" s="1"/>
      <c r="E18" s="46">
        <v>2025</v>
      </c>
      <c r="F18" s="2"/>
      <c r="G18" s="47">
        <v>25000000</v>
      </c>
      <c r="H18" s="48">
        <v>0.03</v>
      </c>
      <c r="I18" s="49">
        <f>Tabla2[[#This Row],[Monto 1% u Aporte ]]*Tabla2[[#This Row],[Tasa Propuesta Administración OTIC]]</f>
        <v>750000</v>
      </c>
      <c r="J18" s="2" t="s">
        <v>164</v>
      </c>
      <c r="K18" s="2" t="s">
        <v>226</v>
      </c>
      <c r="L18" s="2" t="s">
        <v>159</v>
      </c>
      <c r="M18" s="2" t="s">
        <v>166</v>
      </c>
      <c r="N18" s="10" t="s">
        <v>13</v>
      </c>
      <c r="O18" s="47">
        <v>25000000</v>
      </c>
      <c r="P18" s="50">
        <f>Tabla2[[#This Row],[Aporte Ingresado]]-Tabla2[[#This Row],[Monto 1% u Aporte ]]</f>
        <v>0</v>
      </c>
      <c r="Q18" s="2" t="s">
        <v>175</v>
      </c>
      <c r="R18" s="2" t="s">
        <v>175</v>
      </c>
      <c r="S18" s="2" t="s">
        <v>162</v>
      </c>
      <c r="T18" s="62" t="s">
        <v>175</v>
      </c>
    </row>
    <row r="19" spans="1:20" hidden="1" x14ac:dyDescent="0.25">
      <c r="A19" s="45">
        <f t="shared" si="0"/>
        <v>18</v>
      </c>
      <c r="B19" s="1" t="s">
        <v>225</v>
      </c>
      <c r="C19" s="1" t="e">
        <f>VLOOKUP(Tabla2[[#This Row],[Empresa / Holding]],Tabla1[[#Headers],[#Data],[HOLDING]],1,0)</f>
        <v>#N/A</v>
      </c>
      <c r="D19" s="1"/>
      <c r="E19" s="46">
        <v>2025</v>
      </c>
      <c r="F19" s="2"/>
      <c r="G19" s="47">
        <v>15000000</v>
      </c>
      <c r="H19" s="48">
        <v>0.08</v>
      </c>
      <c r="I19" s="49">
        <f>Tabla2[[#This Row],[Monto 1% u Aporte ]]*Tabla2[[#This Row],[Tasa Propuesta Administración OTIC]]</f>
        <v>1200000</v>
      </c>
      <c r="J19" s="2" t="s">
        <v>164</v>
      </c>
      <c r="K19" s="2" t="s">
        <v>226</v>
      </c>
      <c r="L19" s="2" t="s">
        <v>159</v>
      </c>
      <c r="M19" s="2" t="s">
        <v>28</v>
      </c>
      <c r="N19" s="2" t="s">
        <v>13</v>
      </c>
      <c r="O19" s="47">
        <v>1765696</v>
      </c>
      <c r="P19" s="50">
        <f>Tabla2[[#This Row],[Aporte Ingresado]]-Tabla2[[#This Row],[Monto 1% u Aporte ]]</f>
        <v>-13234304</v>
      </c>
      <c r="Q19" s="50" t="s">
        <v>227</v>
      </c>
      <c r="R19" s="59" t="s">
        <v>228</v>
      </c>
      <c r="S19" s="2" t="s">
        <v>229</v>
      </c>
      <c r="T19" s="51"/>
    </row>
    <row r="20" spans="1:20" hidden="1" x14ac:dyDescent="0.25">
      <c r="A20" s="45">
        <f t="shared" si="0"/>
        <v>19</v>
      </c>
      <c r="B20" s="1" t="s">
        <v>246</v>
      </c>
      <c r="C20" s="1" t="e">
        <f>VLOOKUP(Tabla2[[#This Row],[Empresa / Holding]],Tabla1[[#Headers],[#Data],[HOLDING]],1,0)</f>
        <v>#N/A</v>
      </c>
      <c r="D20" s="1"/>
      <c r="E20" s="46">
        <v>2025</v>
      </c>
      <c r="F20" s="2"/>
      <c r="G20" s="47">
        <v>15000000</v>
      </c>
      <c r="H20" s="48">
        <v>0.12</v>
      </c>
      <c r="I20" s="49">
        <f>Tabla2[[#This Row],[Monto 1% u Aporte ]]*Tabla2[[#This Row],[Tasa Propuesta Administración OTIC]]</f>
        <v>1800000</v>
      </c>
      <c r="J20" s="2" t="s">
        <v>164</v>
      </c>
      <c r="K20" s="2" t="s">
        <v>247</v>
      </c>
      <c r="L20" s="2" t="s">
        <v>159</v>
      </c>
      <c r="M20" s="2" t="s">
        <v>166</v>
      </c>
      <c r="N20" s="10" t="s">
        <v>13</v>
      </c>
      <c r="O20" s="47">
        <v>15061727</v>
      </c>
      <c r="P20" s="50">
        <f>Tabla2[[#This Row],[Aporte Ingresado]]-Tabla2[[#This Row],[Monto 1% u Aporte ]]</f>
        <v>61727</v>
      </c>
      <c r="Q20" s="2" t="s">
        <v>248</v>
      </c>
      <c r="R20" s="53" t="s">
        <v>249</v>
      </c>
      <c r="S20" s="2" t="s">
        <v>162</v>
      </c>
      <c r="T20" s="51"/>
    </row>
    <row r="21" spans="1:20" hidden="1" x14ac:dyDescent="0.25">
      <c r="A21" s="45">
        <f t="shared" si="0"/>
        <v>20</v>
      </c>
      <c r="B21" s="1" t="s">
        <v>261</v>
      </c>
      <c r="C21" s="1" t="e">
        <f>VLOOKUP(Tabla2[[#This Row],[Empresa / Holding]],Tabla1[[#Headers],[#Data],[HOLDING]],1,0)</f>
        <v>#N/A</v>
      </c>
      <c r="D21" s="1"/>
      <c r="E21" s="46">
        <v>2025</v>
      </c>
      <c r="F21" s="2" t="s">
        <v>262</v>
      </c>
      <c r="G21" s="47">
        <v>30000000</v>
      </c>
      <c r="H21" s="48">
        <v>7.0000000000000007E-2</v>
      </c>
      <c r="I21" s="49">
        <f>Tabla2[[#This Row],[Monto 1% u Aporte ]]*Tabla2[[#This Row],[Tasa Propuesta Administración OTIC]]</f>
        <v>2100000</v>
      </c>
      <c r="J21" s="2" t="s">
        <v>164</v>
      </c>
      <c r="K21" s="2" t="s">
        <v>171</v>
      </c>
      <c r="L21" s="2" t="s">
        <v>159</v>
      </c>
      <c r="M21" s="2" t="s">
        <v>240</v>
      </c>
      <c r="N21" s="10" t="s">
        <v>13</v>
      </c>
      <c r="O21" s="47">
        <v>57867803</v>
      </c>
      <c r="P21" s="50">
        <f>Tabla2[[#This Row],[Aporte Ingresado]]-Tabla2[[#This Row],[Monto 1% u Aporte ]]</f>
        <v>27867803</v>
      </c>
      <c r="Q21" s="2"/>
      <c r="R21" s="53" t="s">
        <v>263</v>
      </c>
      <c r="S21" s="2" t="s">
        <v>162</v>
      </c>
      <c r="T21" s="51"/>
    </row>
    <row r="22" spans="1:20" hidden="1" x14ac:dyDescent="0.25">
      <c r="A22" s="45">
        <f t="shared" si="0"/>
        <v>21</v>
      </c>
      <c r="B22" s="1" t="s">
        <v>316</v>
      </c>
      <c r="C22" s="1" t="e">
        <f>VLOOKUP(Tabla2[[#This Row],[Empresa / Holding]],Tabla1[[#Headers],[#Data],[HOLDING]],1,0)</f>
        <v>#N/A</v>
      </c>
      <c r="D22" s="1"/>
      <c r="E22" s="46">
        <v>2025</v>
      </c>
      <c r="F22" s="2"/>
      <c r="G22" s="50">
        <v>0</v>
      </c>
      <c r="H22" s="48">
        <v>0.12</v>
      </c>
      <c r="I22" s="49">
        <v>38000000</v>
      </c>
      <c r="J22" s="2" t="s">
        <v>164</v>
      </c>
      <c r="K22" s="2" t="s">
        <v>207</v>
      </c>
      <c r="L22" s="2" t="s">
        <v>159</v>
      </c>
      <c r="M22" s="2" t="s">
        <v>166</v>
      </c>
      <c r="N22" s="10" t="s">
        <v>13</v>
      </c>
      <c r="O22" s="47">
        <v>38738824</v>
      </c>
      <c r="P22" s="50">
        <f>Tabla2[[#This Row],[Aporte Ingresado]]-Tabla2[[#This Row],[Monto 1% u Aporte ]]</f>
        <v>38738824</v>
      </c>
      <c r="Q22" s="50"/>
      <c r="R22" s="59"/>
      <c r="S22" s="2"/>
      <c r="T22" s="51"/>
    </row>
    <row r="23" spans="1:20" hidden="1" x14ac:dyDescent="0.25">
      <c r="A23" s="45">
        <f t="shared" si="0"/>
        <v>22</v>
      </c>
      <c r="B23" s="63" t="s">
        <v>233</v>
      </c>
      <c r="C23" s="63" t="e">
        <f>VLOOKUP(Tabla2[[#This Row],[Empresa / Holding]],Tabla1[[#Headers],[#Data],[HOLDING]],1,0)</f>
        <v>#N/A</v>
      </c>
      <c r="D23" s="63"/>
      <c r="E23" s="46">
        <v>2025</v>
      </c>
      <c r="F23" s="64" t="s">
        <v>156</v>
      </c>
      <c r="G23" s="65">
        <v>50000000</v>
      </c>
      <c r="H23" s="66">
        <v>0.15</v>
      </c>
      <c r="I23" s="67">
        <f>Tabla2[[#This Row],[Monto 1% u Aporte ]]*Tabla2[[#This Row],[Tasa Propuesta Administración OTIC]]</f>
        <v>7500000</v>
      </c>
      <c r="J23" s="64" t="s">
        <v>164</v>
      </c>
      <c r="K23" s="64" t="s">
        <v>234</v>
      </c>
      <c r="L23" s="2" t="s">
        <v>159</v>
      </c>
      <c r="M23" s="64" t="s">
        <v>235</v>
      </c>
      <c r="N23" s="68" t="s">
        <v>13</v>
      </c>
      <c r="O23" s="65">
        <v>25000000</v>
      </c>
      <c r="P23" s="65">
        <f>Tabla2[[#This Row],[Aporte Ingresado]]-Tabla2[[#This Row],[Monto 1% u Aporte ]]</f>
        <v>-25000000</v>
      </c>
      <c r="Q23" s="65" t="s">
        <v>236</v>
      </c>
      <c r="R23" s="69" t="s">
        <v>237</v>
      </c>
      <c r="S23" s="64" t="s">
        <v>238</v>
      </c>
      <c r="T23" s="70">
        <v>45980</v>
      </c>
    </row>
    <row r="24" spans="1:20" hidden="1" x14ac:dyDescent="0.25">
      <c r="A24" s="45">
        <f t="shared" si="0"/>
        <v>23</v>
      </c>
      <c r="B24" s="1" t="s">
        <v>287</v>
      </c>
      <c r="C24" s="1" t="e">
        <f>VLOOKUP(Tabla2[[#This Row],[Empresa / Holding]],Tabla1[[#Headers],[#Data],[HOLDING]],1,0)</f>
        <v>#N/A</v>
      </c>
      <c r="D24" s="1"/>
      <c r="E24" s="46">
        <v>2025</v>
      </c>
      <c r="F24" s="2" t="s">
        <v>288</v>
      </c>
      <c r="G24" s="47">
        <v>10000000</v>
      </c>
      <c r="H24" s="48">
        <v>0.1</v>
      </c>
      <c r="I24" s="49">
        <f>Tabla2[[#This Row],[Monto 1% u Aporte ]]*Tabla2[[#This Row],[Tasa Propuesta Administración OTIC]]</f>
        <v>1000000</v>
      </c>
      <c r="J24" s="2" t="s">
        <v>289</v>
      </c>
      <c r="K24" s="2" t="s">
        <v>207</v>
      </c>
      <c r="L24" s="2" t="s">
        <v>159</v>
      </c>
      <c r="M24" s="2" t="s">
        <v>266</v>
      </c>
      <c r="N24" s="10" t="s">
        <v>13</v>
      </c>
      <c r="O24" s="47">
        <v>10000000</v>
      </c>
      <c r="P24" s="50">
        <f>Tabla2[[#This Row],[Aporte Ingresado]]-Tabla2[[#This Row],[Monto 1% u Aporte ]]</f>
        <v>0</v>
      </c>
      <c r="Q24" s="50" t="s">
        <v>290</v>
      </c>
      <c r="R24" s="50" t="s">
        <v>291</v>
      </c>
      <c r="S24" s="2"/>
      <c r="T24" s="51"/>
    </row>
    <row r="25" spans="1:20" hidden="1" x14ac:dyDescent="0.25">
      <c r="A25" s="45">
        <f t="shared" si="0"/>
        <v>24</v>
      </c>
      <c r="B25" s="1" t="s">
        <v>180</v>
      </c>
      <c r="C25" s="1" t="e">
        <f>VLOOKUP(Tabla2[[#This Row],[Empresa / Holding]],Tabla1[[#Headers],[#Data],[HOLDING]],1,0)</f>
        <v>#N/A</v>
      </c>
      <c r="D25" s="1"/>
      <c r="E25" s="46">
        <v>2025</v>
      </c>
      <c r="F25" s="2"/>
      <c r="G25" s="47">
        <v>49000000</v>
      </c>
      <c r="H25" s="48">
        <v>0.05</v>
      </c>
      <c r="I25" s="49">
        <f>Tabla2[[#This Row],[Monto 1% u Aporte ]]*Tabla2[[#This Row],[Tasa Propuesta Administración OTIC]]</f>
        <v>2450000</v>
      </c>
      <c r="J25" s="2" t="s">
        <v>164</v>
      </c>
      <c r="K25" s="2" t="s">
        <v>181</v>
      </c>
      <c r="L25" s="2" t="s">
        <v>159</v>
      </c>
      <c r="M25" s="2" t="s">
        <v>166</v>
      </c>
      <c r="N25" s="10" t="s">
        <v>13</v>
      </c>
      <c r="O25" s="47">
        <v>29000000</v>
      </c>
      <c r="P25" s="50">
        <f>Tabla2[[#This Row],[Aporte Ingresado]]-Tabla2[[#This Row],[Monto 1% u Aporte ]]</f>
        <v>-20000000</v>
      </c>
      <c r="Q25" s="2" t="s">
        <v>182</v>
      </c>
      <c r="R25" s="53" t="s">
        <v>183</v>
      </c>
      <c r="S25" s="2" t="s">
        <v>162</v>
      </c>
      <c r="T25" s="51">
        <v>45806</v>
      </c>
    </row>
    <row r="26" spans="1:20" hidden="1" x14ac:dyDescent="0.25">
      <c r="A26" s="45">
        <f t="shared" si="0"/>
        <v>25</v>
      </c>
      <c r="B26" s="1" t="s">
        <v>283</v>
      </c>
      <c r="C26" s="1" t="e">
        <f>VLOOKUP(Tabla2[[#This Row],[Empresa / Holding]],Tabla1[[#Headers],[#Data],[HOLDING]],1,0)</f>
        <v>#N/A</v>
      </c>
      <c r="D26" s="1"/>
      <c r="E26" s="46">
        <v>2025</v>
      </c>
      <c r="F26" s="2" t="s">
        <v>284</v>
      </c>
      <c r="G26" s="47">
        <v>2911977</v>
      </c>
      <c r="H26" s="48">
        <v>0.15</v>
      </c>
      <c r="I26" s="49">
        <f>Tabla2[[#This Row],[Monto 1% u Aporte ]]*Tabla2[[#This Row],[Tasa Propuesta Administración OTIC]]</f>
        <v>436796.55</v>
      </c>
      <c r="J26" s="2" t="s">
        <v>221</v>
      </c>
      <c r="K26" s="2" t="s">
        <v>207</v>
      </c>
      <c r="L26" s="2" t="s">
        <v>159</v>
      </c>
      <c r="M26" s="2" t="s">
        <v>235</v>
      </c>
      <c r="N26" s="10" t="s">
        <v>13</v>
      </c>
      <c r="O26" s="47">
        <v>2911977</v>
      </c>
      <c r="P26" s="47">
        <f>Tabla2[[#This Row],[Aporte Ingresado]]-Tabla2[[#This Row],[Monto 1% u Aporte ]]</f>
        <v>0</v>
      </c>
      <c r="Q26" s="47"/>
      <c r="R26" s="61"/>
      <c r="S26" s="2"/>
      <c r="T26" s="51"/>
    </row>
    <row r="27" spans="1:20" hidden="1" x14ac:dyDescent="0.25">
      <c r="A27" s="45">
        <f t="shared" si="0"/>
        <v>26</v>
      </c>
      <c r="B27" s="1" t="s">
        <v>239</v>
      </c>
      <c r="C27" s="1" t="e">
        <f>VLOOKUP(Tabla2[[#This Row],[Empresa / Holding]],Tabla1[[#Headers],[#Data],[HOLDING]],1,0)</f>
        <v>#N/A</v>
      </c>
      <c r="D27" s="1"/>
      <c r="E27" s="46">
        <v>2025</v>
      </c>
      <c r="F27" s="2" t="s">
        <v>12</v>
      </c>
      <c r="G27" s="47">
        <v>28000000</v>
      </c>
      <c r="H27" s="71">
        <v>0.05</v>
      </c>
      <c r="I27" s="47">
        <f>Tabla2[[#This Row],[Monto 1% u Aporte ]]*Tabla2[[#This Row],[Tasa Propuesta Administración OTIC]]</f>
        <v>1400000</v>
      </c>
      <c r="J27" s="2" t="s">
        <v>157</v>
      </c>
      <c r="K27" s="2" t="s">
        <v>207</v>
      </c>
      <c r="L27" s="2" t="s">
        <v>159</v>
      </c>
      <c r="M27" s="2" t="s">
        <v>240</v>
      </c>
      <c r="N27" s="10" t="s">
        <v>13</v>
      </c>
      <c r="O27" s="47">
        <v>28000000</v>
      </c>
      <c r="P27" s="50">
        <f>Tabla2[[#This Row],[Aporte Ingresado]]-Tabla2[[#This Row],[Monto 1% u Aporte ]]</f>
        <v>0</v>
      </c>
      <c r="Q27" s="2" t="s">
        <v>241</v>
      </c>
      <c r="R27" s="53" t="s">
        <v>242</v>
      </c>
      <c r="S27" s="2" t="s">
        <v>162</v>
      </c>
      <c r="T27" s="51"/>
    </row>
    <row r="28" spans="1:20" hidden="1" x14ac:dyDescent="0.25">
      <c r="A28" s="45">
        <f t="shared" si="0"/>
        <v>27</v>
      </c>
      <c r="B28" s="1" t="s">
        <v>243</v>
      </c>
      <c r="C28" s="1" t="e">
        <f>VLOOKUP(Tabla2[[#This Row],[Empresa / Holding]],Tabla1[[#Headers],[#Data],[HOLDING]],1,0)</f>
        <v>#N/A</v>
      </c>
      <c r="D28" s="1"/>
      <c r="E28" s="46">
        <v>2025</v>
      </c>
      <c r="F28" s="2"/>
      <c r="G28" s="47">
        <v>9300000</v>
      </c>
      <c r="H28" s="48">
        <v>0.08</v>
      </c>
      <c r="I28" s="49">
        <f>Tabla2[[#This Row],[Monto 1% u Aporte ]]*Tabla2[[#This Row],[Tasa Propuesta Administración OTIC]]</f>
        <v>744000</v>
      </c>
      <c r="J28" s="2" t="s">
        <v>164</v>
      </c>
      <c r="K28" s="2" t="s">
        <v>226</v>
      </c>
      <c r="L28" s="2" t="s">
        <v>159</v>
      </c>
      <c r="M28" s="2" t="s">
        <v>28</v>
      </c>
      <c r="N28" s="10" t="s">
        <v>13</v>
      </c>
      <c r="O28" s="47">
        <v>9320659</v>
      </c>
      <c r="P28" s="50">
        <f>Tabla2[[#This Row],[Aporte Ingresado]]-Tabla2[[#This Row],[Monto 1% u Aporte ]]</f>
        <v>20659</v>
      </c>
      <c r="Q28" s="2" t="s">
        <v>244</v>
      </c>
      <c r="R28" s="53" t="s">
        <v>245</v>
      </c>
      <c r="S28" s="2" t="s">
        <v>162</v>
      </c>
      <c r="T28" s="51"/>
    </row>
    <row r="29" spans="1:20" hidden="1" x14ac:dyDescent="0.25">
      <c r="A29" s="45">
        <f t="shared" si="0"/>
        <v>28</v>
      </c>
      <c r="B29" s="1" t="s">
        <v>185</v>
      </c>
      <c r="C29" s="1" t="e">
        <f>VLOOKUP(Tabla2[[#This Row],[Empresa / Holding]],Tabla1[[#Headers],[#Data],[HOLDING]],1,0)</f>
        <v>#N/A</v>
      </c>
      <c r="D29" s="1"/>
      <c r="E29" s="46">
        <v>2025</v>
      </c>
      <c r="F29" s="2" t="s">
        <v>170</v>
      </c>
      <c r="G29" s="58">
        <v>5000000</v>
      </c>
      <c r="H29" s="48">
        <v>0.15</v>
      </c>
      <c r="I29" s="49">
        <v>750000</v>
      </c>
      <c r="J29" s="2" t="s">
        <v>164</v>
      </c>
      <c r="K29" s="2" t="s">
        <v>171</v>
      </c>
      <c r="L29" s="2" t="s">
        <v>186</v>
      </c>
      <c r="M29" s="2" t="s">
        <v>187</v>
      </c>
      <c r="N29" s="2" t="s">
        <v>13</v>
      </c>
      <c r="O29" s="47">
        <v>500000</v>
      </c>
      <c r="P29" s="50">
        <f>Tabla2[[#This Row],[Aporte Ingresado]]-Tabla2[[#This Row],[Monto 1% u Aporte ]]</f>
        <v>-4500000</v>
      </c>
      <c r="Q29" s="50" t="s">
        <v>188</v>
      </c>
      <c r="R29" s="59" t="s">
        <v>189</v>
      </c>
      <c r="S29" s="2" t="s">
        <v>162</v>
      </c>
      <c r="T29" s="51"/>
    </row>
    <row r="30" spans="1:20" hidden="1" x14ac:dyDescent="0.25">
      <c r="A30" s="45">
        <f t="shared" si="0"/>
        <v>29</v>
      </c>
      <c r="B30" s="1" t="s">
        <v>230</v>
      </c>
      <c r="C30" s="1" t="e">
        <f>VLOOKUP(Tabla2[[#This Row],[Empresa / Holding]],Tabla1[[#Headers],[#Data],[HOLDING]],1,0)</f>
        <v>#N/A</v>
      </c>
      <c r="D30" s="1"/>
      <c r="E30" s="46">
        <v>2025</v>
      </c>
      <c r="F30" s="2"/>
      <c r="G30" s="47">
        <v>46000000</v>
      </c>
      <c r="H30" s="48">
        <v>0.08</v>
      </c>
      <c r="I30" s="49">
        <f>Tabla2[[#This Row],[Monto 1% u Aporte ]]*Tabla2[[#This Row],[Tasa Propuesta Administración OTIC]]</f>
        <v>3680000</v>
      </c>
      <c r="J30" s="2" t="s">
        <v>164</v>
      </c>
      <c r="K30" s="2" t="s">
        <v>207</v>
      </c>
      <c r="L30" s="2" t="s">
        <v>159</v>
      </c>
      <c r="M30" s="2" t="s">
        <v>222</v>
      </c>
      <c r="N30" s="10" t="s">
        <v>13</v>
      </c>
      <c r="O30" s="47">
        <v>40000000</v>
      </c>
      <c r="P30" s="50">
        <f>Tabla2[[#This Row],[Aporte Ingresado]]-Tabla2[[#This Row],[Monto 1% u Aporte ]]</f>
        <v>-6000000</v>
      </c>
      <c r="Q30" s="50" t="s">
        <v>231</v>
      </c>
      <c r="R30" s="59" t="s">
        <v>232</v>
      </c>
      <c r="S30" s="2"/>
      <c r="T30" s="51"/>
    </row>
    <row r="31" spans="1:20" hidden="1" x14ac:dyDescent="0.25">
      <c r="A31" s="45">
        <f t="shared" si="0"/>
        <v>30</v>
      </c>
      <c r="B31" s="1" t="s">
        <v>174</v>
      </c>
      <c r="C31" s="1" t="e">
        <f>VLOOKUP(Tabla2[[#This Row],[Empresa / Holding]],Tabla1[[#Headers],[#Data],[HOLDING]],1,0)</f>
        <v>#N/A</v>
      </c>
      <c r="D31" s="1"/>
      <c r="E31" s="46">
        <v>2025</v>
      </c>
      <c r="F31" s="2"/>
      <c r="G31" s="47">
        <v>26600000</v>
      </c>
      <c r="H31" s="48">
        <v>0.06</v>
      </c>
      <c r="I31" s="49">
        <f>Tabla2[[#This Row],[Monto 1% u Aporte ]]*Tabla2[[#This Row],[Tasa Propuesta Administración OTIC]]</f>
        <v>1596000</v>
      </c>
      <c r="J31" s="2" t="s">
        <v>164</v>
      </c>
      <c r="K31" s="2" t="s">
        <v>175</v>
      </c>
      <c r="L31" s="2" t="s">
        <v>159</v>
      </c>
      <c r="M31" s="2" t="s">
        <v>176</v>
      </c>
      <c r="N31" s="10" t="s">
        <v>13</v>
      </c>
      <c r="O31" s="47">
        <v>6753191</v>
      </c>
      <c r="P31" s="50">
        <f>Tabla2[[#This Row],[Aporte Ingresado]]-Tabla2[[#This Row],[Monto 1% u Aporte ]]</f>
        <v>-19846809</v>
      </c>
      <c r="Q31" s="2" t="s">
        <v>177</v>
      </c>
      <c r="R31" s="53" t="s">
        <v>178</v>
      </c>
      <c r="S31" s="2" t="s">
        <v>162</v>
      </c>
      <c r="T31" s="51"/>
    </row>
    <row r="32" spans="1:20" hidden="1" x14ac:dyDescent="0.25">
      <c r="A32" s="45">
        <f t="shared" si="0"/>
        <v>31</v>
      </c>
      <c r="B32" s="1" t="s">
        <v>193</v>
      </c>
      <c r="C32" s="1" t="e">
        <f>VLOOKUP(Tabla2[[#This Row],[Empresa / Holding]],Tabla1[[#Headers],[#Data],[HOLDING]],1,0)</f>
        <v>#N/A</v>
      </c>
      <c r="D32" s="1"/>
      <c r="E32" s="46">
        <v>2025</v>
      </c>
      <c r="F32" s="2"/>
      <c r="G32" s="47">
        <v>18000000</v>
      </c>
      <c r="H32" s="48">
        <v>0.09</v>
      </c>
      <c r="I32" s="49">
        <f>Tabla2[[#This Row],[Monto 1% u Aporte ]]*Tabla2[[#This Row],[Tasa Propuesta Administración OTIC]]</f>
        <v>1620000</v>
      </c>
      <c r="J32" s="2" t="s">
        <v>164</v>
      </c>
      <c r="K32" s="2"/>
      <c r="L32" s="2" t="s">
        <v>159</v>
      </c>
      <c r="M32" s="2" t="s">
        <v>28</v>
      </c>
      <c r="N32" s="10" t="s">
        <v>13</v>
      </c>
      <c r="O32" s="47">
        <v>3370549</v>
      </c>
      <c r="P32" s="50">
        <f>Tabla2[[#This Row],[Aporte Ingresado]]-Tabla2[[#This Row],[Monto 1% u Aporte ]]</f>
        <v>-14629451</v>
      </c>
      <c r="Q32" s="2" t="s">
        <v>194</v>
      </c>
      <c r="R32" s="53" t="s">
        <v>195</v>
      </c>
      <c r="S32" s="2" t="s">
        <v>162</v>
      </c>
      <c r="T32" s="51"/>
    </row>
    <row r="33" spans="1:20" hidden="1" x14ac:dyDescent="0.25">
      <c r="A33" s="45">
        <f t="shared" si="0"/>
        <v>32</v>
      </c>
      <c r="B33" s="1" t="s">
        <v>285</v>
      </c>
      <c r="C33" s="1" t="e">
        <f>VLOOKUP(Tabla2[[#This Row],[Empresa / Holding]],Tabla1[[#Headers],[#Data],[HOLDING]],1,0)</f>
        <v>#N/A</v>
      </c>
      <c r="D33" s="1"/>
      <c r="E33" s="46">
        <v>2025</v>
      </c>
      <c r="F33" s="2" t="s">
        <v>12</v>
      </c>
      <c r="G33" s="47">
        <v>5000000</v>
      </c>
      <c r="H33" s="48">
        <v>0.12</v>
      </c>
      <c r="I33" s="49">
        <f>Tabla2[[#This Row],[Monto 1% u Aporte ]]*Tabla2[[#This Row],[Tasa Propuesta Administración OTIC]]</f>
        <v>600000</v>
      </c>
      <c r="J33" s="2" t="s">
        <v>164</v>
      </c>
      <c r="K33" s="2" t="s">
        <v>171</v>
      </c>
      <c r="L33" s="2" t="s">
        <v>186</v>
      </c>
      <c r="M33" s="2" t="s">
        <v>187</v>
      </c>
      <c r="N33" s="10" t="s">
        <v>13</v>
      </c>
      <c r="O33" s="47">
        <v>5113636</v>
      </c>
      <c r="P33" s="50">
        <f>Tabla2[[#This Row],[Aporte Ingresado]]-Tabla2[[#This Row],[Monto 1% u Aporte ]]</f>
        <v>113636</v>
      </c>
      <c r="Q33" s="50"/>
      <c r="R33" s="59" t="s">
        <v>286</v>
      </c>
      <c r="S33" s="2"/>
      <c r="T33" s="51">
        <v>45980</v>
      </c>
    </row>
    <row r="34" spans="1:20" hidden="1" x14ac:dyDescent="0.25">
      <c r="A34" s="45">
        <f t="shared" si="0"/>
        <v>33</v>
      </c>
      <c r="B34" s="1" t="s">
        <v>274</v>
      </c>
      <c r="C34" s="1" t="e">
        <f>VLOOKUP(Tabla2[[#This Row],[Empresa / Holding]],Tabla1[[#Headers],[#Data],[HOLDING]],1,0)</f>
        <v>#N/A</v>
      </c>
      <c r="D34" s="1"/>
      <c r="E34" s="46">
        <v>2025</v>
      </c>
      <c r="F34" s="2"/>
      <c r="G34" s="47">
        <v>23000000</v>
      </c>
      <c r="H34" s="48">
        <v>0.05</v>
      </c>
      <c r="I34" s="49">
        <f>Tabla2[[#This Row],[Monto 1% u Aporte ]]*Tabla2[[#This Row],[Tasa Propuesta Administración OTIC]]</f>
        <v>1150000</v>
      </c>
      <c r="J34" s="2" t="s">
        <v>164</v>
      </c>
      <c r="K34" s="2" t="s">
        <v>234</v>
      </c>
      <c r="L34" s="2" t="s">
        <v>159</v>
      </c>
      <c r="M34" s="2" t="s">
        <v>235</v>
      </c>
      <c r="N34" s="10" t="s">
        <v>13</v>
      </c>
      <c r="O34" s="47">
        <v>23000000</v>
      </c>
      <c r="P34" s="50">
        <f>Tabla2[[#This Row],[Aporte Ingresado]]-Tabla2[[#This Row],[Monto 1% u Aporte ]]</f>
        <v>0</v>
      </c>
      <c r="Q34" s="2" t="s">
        <v>275</v>
      </c>
      <c r="R34" s="2" t="s">
        <v>276</v>
      </c>
      <c r="S34" s="2" t="s">
        <v>162</v>
      </c>
      <c r="T34" s="51">
        <v>45803</v>
      </c>
    </row>
    <row r="35" spans="1:20" hidden="1" x14ac:dyDescent="0.25">
      <c r="A35" s="45">
        <f t="shared" ref="A35:A66" si="1">A34+1</f>
        <v>34</v>
      </c>
      <c r="B35" s="1" t="s">
        <v>250</v>
      </c>
      <c r="C35" s="1" t="e">
        <f>VLOOKUP(Tabla2[[#This Row],[Empresa / Holding]],Tabla1[[#Headers],[#Data],[HOLDING]],1,0)</f>
        <v>#N/A</v>
      </c>
      <c r="D35" s="1"/>
      <c r="E35" s="46">
        <v>2025</v>
      </c>
      <c r="F35" s="2" t="s">
        <v>251</v>
      </c>
      <c r="G35" s="47">
        <v>30000000</v>
      </c>
      <c r="H35" s="48">
        <v>7.0000000000000007E-2</v>
      </c>
      <c r="I35" s="49">
        <f>Tabla2[[#This Row],[Monto 1% u Aporte ]]*Tabla2[[#This Row],[Tasa Propuesta Administración OTIC]]</f>
        <v>2100000</v>
      </c>
      <c r="J35" s="2" t="s">
        <v>164</v>
      </c>
      <c r="K35" s="2" t="s">
        <v>252</v>
      </c>
      <c r="L35" s="2" t="s">
        <v>159</v>
      </c>
      <c r="M35" s="2" t="s">
        <v>235</v>
      </c>
      <c r="N35" s="10" t="s">
        <v>13</v>
      </c>
      <c r="O35" s="47">
        <v>37500000</v>
      </c>
      <c r="P35" s="50">
        <f>Tabla2[[#This Row],[Aporte Ingresado]]-Tabla2[[#This Row],[Monto 1% u Aporte ]]</f>
        <v>7500000</v>
      </c>
      <c r="Q35" s="2"/>
      <c r="R35" s="2"/>
      <c r="S35" s="2" t="s">
        <v>162</v>
      </c>
      <c r="T35" s="51"/>
    </row>
    <row r="36" spans="1:20" hidden="1" x14ac:dyDescent="0.25">
      <c r="A36" s="45">
        <f t="shared" si="1"/>
        <v>35</v>
      </c>
      <c r="B36" s="1" t="s">
        <v>205</v>
      </c>
      <c r="C36" s="1" t="e">
        <f>VLOOKUP(Tabla2[[#This Row],[Empresa / Holding]],Tabla1[[#Headers],[#Data],[HOLDING]],1,0)</f>
        <v>#N/A</v>
      </c>
      <c r="D36" s="1"/>
      <c r="E36" s="46">
        <v>2025</v>
      </c>
      <c r="F36" s="2" t="s">
        <v>206</v>
      </c>
      <c r="G36" s="47">
        <v>36000000</v>
      </c>
      <c r="H36" s="48">
        <v>7.0000000000000007E-2</v>
      </c>
      <c r="I36" s="49">
        <f>Tabla2[[#This Row],[Monto 1% u Aporte ]]*Tabla2[[#This Row],[Tasa Propuesta Administración OTIC]]</f>
        <v>2520000.0000000005</v>
      </c>
      <c r="J36" s="2" t="s">
        <v>164</v>
      </c>
      <c r="K36" s="2" t="s">
        <v>207</v>
      </c>
      <c r="L36" s="2" t="s">
        <v>159</v>
      </c>
      <c r="M36" s="2" t="s">
        <v>176</v>
      </c>
      <c r="N36" s="10" t="s">
        <v>13</v>
      </c>
      <c r="O36" s="47">
        <v>8344086</v>
      </c>
      <c r="P36" s="50">
        <f>Tabla2[[#This Row],[Aporte Ingresado]]-Tabla2[[#This Row],[Monto 1% u Aporte ]]</f>
        <v>-27655914</v>
      </c>
      <c r="Q36" s="50" t="s">
        <v>208</v>
      </c>
      <c r="R36" s="59" t="s">
        <v>209</v>
      </c>
      <c r="S36" s="2" t="s">
        <v>210</v>
      </c>
      <c r="T36" s="51">
        <v>46000</v>
      </c>
    </row>
    <row r="37" spans="1:20" hidden="1" x14ac:dyDescent="0.25">
      <c r="A37" s="45">
        <f t="shared" si="1"/>
        <v>36</v>
      </c>
      <c r="B37" s="1" t="s">
        <v>299</v>
      </c>
      <c r="C37" s="1" t="e">
        <f>VLOOKUP(Tabla2[[#This Row],[Empresa / Holding]],Tabla1[[#Headers],[#Data],[HOLDING]],1,0)</f>
        <v>#N/A</v>
      </c>
      <c r="D37" s="1"/>
      <c r="E37" s="46">
        <v>2025</v>
      </c>
      <c r="F37" s="2" t="s">
        <v>300</v>
      </c>
      <c r="G37" s="47">
        <v>661000000</v>
      </c>
      <c r="H37" s="48">
        <v>5.1999999999999998E-2</v>
      </c>
      <c r="I37" s="49">
        <f>Tabla2[[#This Row],[Monto 1% u Aporte ]]*Tabla2[[#This Row],[Tasa Propuesta Administración OTIC]]</f>
        <v>34372000</v>
      </c>
      <c r="J37" s="2" t="s">
        <v>164</v>
      </c>
      <c r="K37" s="2" t="s">
        <v>226</v>
      </c>
      <c r="L37" s="2" t="s">
        <v>159</v>
      </c>
      <c r="M37" s="2" t="s">
        <v>176</v>
      </c>
      <c r="N37" s="10" t="s">
        <v>13</v>
      </c>
      <c r="O37" s="47">
        <v>661000000</v>
      </c>
      <c r="P37" s="50">
        <f>Tabla2[[#This Row],[Aporte Ingresado]]-Tabla2[[#This Row],[Monto 1% u Aporte ]]</f>
        <v>0</v>
      </c>
      <c r="Q37" s="50"/>
      <c r="R37" s="50"/>
      <c r="S37" s="2"/>
      <c r="T37" s="51"/>
    </row>
    <row r="38" spans="1:20" hidden="1" x14ac:dyDescent="0.25">
      <c r="A38" s="45">
        <f t="shared" si="1"/>
        <v>37</v>
      </c>
      <c r="B38" s="1" t="s">
        <v>197</v>
      </c>
      <c r="C38" s="1" t="e">
        <f>VLOOKUP(Tabla2[[#This Row],[Empresa / Holding]],Tabla1[[#Headers],[#Data],[HOLDING]],1,0)</f>
        <v>#N/A</v>
      </c>
      <c r="D38" s="1"/>
      <c r="E38" s="46">
        <v>2025</v>
      </c>
      <c r="F38" s="2"/>
      <c r="G38" s="47">
        <v>58000000</v>
      </c>
      <c r="H38" s="48">
        <v>0.04</v>
      </c>
      <c r="I38" s="49">
        <f>Tabla2[[#This Row],[Monto 1% u Aporte ]]*Tabla2[[#This Row],[Tasa Propuesta Administración OTIC]]</f>
        <v>2320000</v>
      </c>
      <c r="J38" s="2" t="s">
        <v>164</v>
      </c>
      <c r="K38" s="2" t="s">
        <v>198</v>
      </c>
      <c r="L38" s="2" t="s">
        <v>159</v>
      </c>
      <c r="M38" s="2" t="s">
        <v>166</v>
      </c>
      <c r="N38" s="10" t="s">
        <v>13</v>
      </c>
      <c r="O38" s="47">
        <v>30115000</v>
      </c>
      <c r="P38" s="50">
        <f>Tabla2[[#This Row],[Aporte Ingresado]]-Tabla2[[#This Row],[Monto 1% u Aporte ]]</f>
        <v>-27885000</v>
      </c>
      <c r="Q38" s="2" t="s">
        <v>199</v>
      </c>
      <c r="R38" s="53" t="s">
        <v>200</v>
      </c>
      <c r="S38" s="2" t="s">
        <v>201</v>
      </c>
      <c r="T38" s="51"/>
    </row>
    <row r="39" spans="1:20" hidden="1" x14ac:dyDescent="0.25">
      <c r="A39" s="45">
        <f t="shared" si="1"/>
        <v>38</v>
      </c>
      <c r="B39" s="1" t="s">
        <v>258</v>
      </c>
      <c r="C39" s="1" t="e">
        <f>VLOOKUP(Tabla2[[#This Row],[Empresa / Holding]],Tabla1[[#Headers],[#Data],[HOLDING]],1,0)</f>
        <v>#N/A</v>
      </c>
      <c r="D39" s="1"/>
      <c r="E39" s="46">
        <v>2025</v>
      </c>
      <c r="F39" s="2"/>
      <c r="G39" s="47">
        <v>23000000</v>
      </c>
      <c r="H39" s="48">
        <v>0.05</v>
      </c>
      <c r="I39" s="49">
        <f>Tabla2[[#This Row],[Monto 1% u Aporte ]]*Tabla2[[#This Row],[Tasa Propuesta Administración OTIC]]</f>
        <v>1150000</v>
      </c>
      <c r="J39" s="2" t="s">
        <v>164</v>
      </c>
      <c r="K39" s="2" t="s">
        <v>252</v>
      </c>
      <c r="L39" s="2" t="s">
        <v>159</v>
      </c>
      <c r="M39" s="2" t="s">
        <v>166</v>
      </c>
      <c r="N39" s="10" t="s">
        <v>13</v>
      </c>
      <c r="O39" s="47">
        <v>23152105</v>
      </c>
      <c r="P39" s="50">
        <f>Tabla2[[#This Row],[Aporte Ingresado]]-Tabla2[[#This Row],[Monto 1% u Aporte ]]</f>
        <v>152105</v>
      </c>
      <c r="Q39" s="2" t="s">
        <v>259</v>
      </c>
      <c r="R39" s="72" t="s">
        <v>260</v>
      </c>
      <c r="S39" s="2" t="s">
        <v>162</v>
      </c>
      <c r="T39" s="51"/>
    </row>
    <row r="40" spans="1:20" hidden="1" x14ac:dyDescent="0.25">
      <c r="A40" s="45">
        <f t="shared" si="1"/>
        <v>39</v>
      </c>
      <c r="B40" s="1" t="s">
        <v>292</v>
      </c>
      <c r="C40" s="1" t="e">
        <f>VLOOKUP(Tabla2[[#This Row],[Empresa / Holding]],Tabla1[[#Headers],[#Data],[HOLDING]],1,0)</f>
        <v>#N/A</v>
      </c>
      <c r="D40" s="1"/>
      <c r="E40" s="46">
        <v>2025</v>
      </c>
      <c r="F40" s="2" t="s">
        <v>293</v>
      </c>
      <c r="G40" s="47">
        <v>10000000</v>
      </c>
      <c r="H40" s="48">
        <v>0.08</v>
      </c>
      <c r="I40" s="49">
        <f>Tabla2[[#This Row],[Monto 1% u Aporte ]]*Tabla2[[#This Row],[Tasa Propuesta Administración OTIC]]</f>
        <v>800000</v>
      </c>
      <c r="J40" s="2" t="s">
        <v>221</v>
      </c>
      <c r="K40" s="2" t="s">
        <v>171</v>
      </c>
      <c r="L40" s="2" t="s">
        <v>159</v>
      </c>
      <c r="M40" s="2" t="s">
        <v>235</v>
      </c>
      <c r="N40" s="10" t="s">
        <v>13</v>
      </c>
      <c r="O40" s="47">
        <v>13049902</v>
      </c>
      <c r="P40" s="50">
        <f>Tabla2[[#This Row],[Aporte Ingresado]]-Tabla2[[#This Row],[Monto 1% u Aporte ]]</f>
        <v>3049902</v>
      </c>
      <c r="Q40" s="50" t="s">
        <v>294</v>
      </c>
      <c r="R40" s="50" t="s">
        <v>295</v>
      </c>
      <c r="S40" s="2"/>
      <c r="T40" s="51"/>
    </row>
    <row r="41" spans="1:20" hidden="1" x14ac:dyDescent="0.25">
      <c r="A41" s="45">
        <f t="shared" si="1"/>
        <v>40</v>
      </c>
      <c r="B41" s="1" t="s">
        <v>253</v>
      </c>
      <c r="C41" s="1" t="e">
        <f>VLOOKUP(Tabla2[[#This Row],[Empresa / Holding]],Tabla1[[#Headers],[#Data],[HOLDING]],1,0)</f>
        <v>#N/A</v>
      </c>
      <c r="D41" s="1"/>
      <c r="E41" s="46">
        <v>2025</v>
      </c>
      <c r="F41" s="2" t="s">
        <v>254</v>
      </c>
      <c r="G41" s="47">
        <v>4485958</v>
      </c>
      <c r="H41" s="48">
        <v>0.06</v>
      </c>
      <c r="I41" s="49">
        <f>Tabla2[[#This Row],[Monto 1% u Aporte ]]*Tabla2[[#This Row],[Tasa Propuesta Administración OTIC]]</f>
        <v>269157.48</v>
      </c>
      <c r="J41" s="2" t="s">
        <v>164</v>
      </c>
      <c r="K41" s="2" t="s">
        <v>255</v>
      </c>
      <c r="L41" s="2" t="s">
        <v>159</v>
      </c>
      <c r="M41" s="2" t="s">
        <v>166</v>
      </c>
      <c r="N41" s="10" t="s">
        <v>13</v>
      </c>
      <c r="O41" s="47">
        <v>8231490</v>
      </c>
      <c r="P41" s="50">
        <f>Tabla2[[#This Row],[Aporte Ingresado]]-Tabla2[[#This Row],[Monto 1% u Aporte ]]</f>
        <v>3745532</v>
      </c>
      <c r="Q41" s="2" t="s">
        <v>256</v>
      </c>
      <c r="R41" s="53" t="s">
        <v>257</v>
      </c>
      <c r="S41" s="2" t="s">
        <v>162</v>
      </c>
      <c r="T41" s="51"/>
    </row>
    <row r="42" spans="1:20" hidden="1" x14ac:dyDescent="0.25">
      <c r="A42" s="45">
        <f t="shared" si="1"/>
        <v>41</v>
      </c>
      <c r="B42" s="1" t="s">
        <v>269</v>
      </c>
      <c r="C42" s="1" t="e">
        <f>VLOOKUP(Tabla2[[#This Row],[Empresa / Holding]],Tabla1[[#Headers],[#Data],[HOLDING]],1,0)</f>
        <v>#N/A</v>
      </c>
      <c r="D42" s="1"/>
      <c r="E42" s="46">
        <v>2025</v>
      </c>
      <c r="F42" s="2" t="s">
        <v>270</v>
      </c>
      <c r="G42" s="47">
        <v>20000000</v>
      </c>
      <c r="H42" s="48">
        <v>7.0000000000000007E-2</v>
      </c>
      <c r="I42" s="49">
        <f>Tabla2[[#This Row],[Monto 1% u Aporte ]]*Tabla2[[#This Row],[Tasa Propuesta Administración OTIC]]</f>
        <v>1400000.0000000002</v>
      </c>
      <c r="J42" s="2" t="s">
        <v>164</v>
      </c>
      <c r="K42" s="2" t="s">
        <v>198</v>
      </c>
      <c r="L42" s="2" t="s">
        <v>159</v>
      </c>
      <c r="M42" s="2" t="s">
        <v>166</v>
      </c>
      <c r="N42" s="10" t="s">
        <v>13</v>
      </c>
      <c r="O42" s="47">
        <v>27000000</v>
      </c>
      <c r="P42" s="50">
        <f>Tabla2[[#This Row],[Aporte Ingresado]]-Tabla2[[#This Row],[Monto 1% u Aporte ]]</f>
        <v>7000000</v>
      </c>
      <c r="Q42" s="2" t="s">
        <v>271</v>
      </c>
      <c r="R42" s="2" t="s">
        <v>272</v>
      </c>
      <c r="S42" s="2" t="s">
        <v>162</v>
      </c>
      <c r="T42" s="51">
        <v>45768</v>
      </c>
    </row>
    <row r="43" spans="1:20" hidden="1" x14ac:dyDescent="0.25">
      <c r="A43" s="45">
        <f t="shared" si="1"/>
        <v>42</v>
      </c>
      <c r="B43" s="140" t="s">
        <v>190</v>
      </c>
      <c r="C43" s="140" t="e">
        <f>VLOOKUP(Tabla2[[#This Row],[Empresa / Holding]],Tabla1[[#Headers],[#Data],[HOLDING]],1,0)</f>
        <v>#N/A</v>
      </c>
      <c r="D43" s="140" t="s">
        <v>699</v>
      </c>
      <c r="E43" s="46">
        <v>2025</v>
      </c>
      <c r="F43" s="2"/>
      <c r="G43" s="47">
        <v>14000000</v>
      </c>
      <c r="H43" s="48">
        <v>7.0000000000000007E-2</v>
      </c>
      <c r="I43" s="49">
        <f>Tabla2[[#This Row],[Monto 1% u Aporte ]]*Tabla2[[#This Row],[Tasa Propuesta Administración OTIC]]</f>
        <v>980000.00000000012</v>
      </c>
      <c r="J43" s="2" t="s">
        <v>164</v>
      </c>
      <c r="K43" s="2" t="s">
        <v>171</v>
      </c>
      <c r="L43" s="2" t="s">
        <v>159</v>
      </c>
      <c r="M43" s="2" t="s">
        <v>166</v>
      </c>
      <c r="N43" s="10" t="s">
        <v>13</v>
      </c>
      <c r="O43" s="47">
        <v>2200000</v>
      </c>
      <c r="P43" s="50">
        <f>Tabla2[[#This Row],[Aporte Ingresado]]-Tabla2[[#This Row],[Monto 1% u Aporte ]]</f>
        <v>-11800000</v>
      </c>
      <c r="Q43" s="2" t="s">
        <v>191</v>
      </c>
      <c r="R43" s="53" t="s">
        <v>192</v>
      </c>
      <c r="S43" s="2" t="s">
        <v>162</v>
      </c>
      <c r="T43" s="51">
        <v>45860</v>
      </c>
    </row>
    <row r="44" spans="1:20" hidden="1" x14ac:dyDescent="0.25">
      <c r="A44" s="45">
        <f t="shared" si="1"/>
        <v>43</v>
      </c>
      <c r="B44" s="1" t="s">
        <v>264</v>
      </c>
      <c r="C44" s="1" t="e">
        <f>VLOOKUP(Tabla2[[#This Row],[Empresa / Holding]],Tabla1[[#Headers],[#Data],[HOLDING]],1,0)</f>
        <v>#N/A</v>
      </c>
      <c r="D44" s="1"/>
      <c r="E44" s="46">
        <v>2025</v>
      </c>
      <c r="F44" s="2"/>
      <c r="G44" s="47">
        <v>30000000</v>
      </c>
      <c r="H44" s="48">
        <v>0.08</v>
      </c>
      <c r="I44" s="49">
        <f>Tabla2[[#This Row],[Monto 1% u Aporte ]]*Tabla2[[#This Row],[Tasa Propuesta Administración OTIC]]</f>
        <v>2400000</v>
      </c>
      <c r="J44" s="2" t="s">
        <v>164</v>
      </c>
      <c r="K44" s="2" t="s">
        <v>265</v>
      </c>
      <c r="L44" s="2" t="s">
        <v>159</v>
      </c>
      <c r="M44" s="2" t="s">
        <v>266</v>
      </c>
      <c r="N44" s="10" t="s">
        <v>13</v>
      </c>
      <c r="O44" s="47">
        <v>30000000</v>
      </c>
      <c r="P44" s="50">
        <f>Tabla2[[#This Row],[Aporte Ingresado]]-Tabla2[[#This Row],[Monto 1% u Aporte ]]</f>
        <v>0</v>
      </c>
      <c r="Q44" s="2" t="s">
        <v>267</v>
      </c>
      <c r="R44" s="53" t="s">
        <v>268</v>
      </c>
      <c r="S44" s="2" t="s">
        <v>162</v>
      </c>
      <c r="T44" s="51"/>
    </row>
    <row r="45" spans="1:20" hidden="1" x14ac:dyDescent="0.25">
      <c r="A45" s="45">
        <f t="shared" si="1"/>
        <v>44</v>
      </c>
      <c r="B45" s="1" t="s">
        <v>310</v>
      </c>
      <c r="C45" s="1" t="e">
        <f>VLOOKUP(Tabla2[[#This Row],[Empresa / Holding]],Tabla1[[#Headers],[#Data],[HOLDING]],1,0)</f>
        <v>#N/A</v>
      </c>
      <c r="D45" s="1"/>
      <c r="E45" s="46">
        <v>2025</v>
      </c>
      <c r="F45" s="2"/>
      <c r="G45" s="50">
        <v>0</v>
      </c>
      <c r="H45" s="48">
        <v>7.0000000000000007E-2</v>
      </c>
      <c r="I45" s="49">
        <f>Tabla2[[#This Row],[Monto 1% u Aporte ]]*Tabla2[[#This Row],[Tasa Propuesta Administración OTIC]]</f>
        <v>0</v>
      </c>
      <c r="J45" s="2" t="s">
        <v>221</v>
      </c>
      <c r="K45" s="2" t="s">
        <v>165</v>
      </c>
      <c r="L45" s="2" t="s">
        <v>159</v>
      </c>
      <c r="M45" s="2" t="s">
        <v>166</v>
      </c>
      <c r="N45" s="10" t="s">
        <v>13</v>
      </c>
      <c r="O45" s="50">
        <v>6379093</v>
      </c>
      <c r="P45" s="50">
        <f>Tabla2[[#This Row],[Aporte Ingresado]]-Tabla2[[#This Row],[Monto 1% u Aporte ]]</f>
        <v>6379093</v>
      </c>
      <c r="Q45" s="2" t="s">
        <v>311</v>
      </c>
      <c r="R45" s="53" t="s">
        <v>312</v>
      </c>
      <c r="S45" s="2" t="s">
        <v>313</v>
      </c>
      <c r="T45" s="51"/>
    </row>
    <row r="46" spans="1:20" hidden="1" x14ac:dyDescent="0.25">
      <c r="A46" s="45">
        <f t="shared" si="1"/>
        <v>45</v>
      </c>
      <c r="B46" s="1" t="s">
        <v>301</v>
      </c>
      <c r="C46" s="1" t="e">
        <f>VLOOKUP(Tabla2[[#This Row],[Empresa / Holding]],Tabla1[[#Headers],[#Data],[HOLDING]],1,0)</f>
        <v>#N/A</v>
      </c>
      <c r="D46" s="1"/>
      <c r="E46" s="46">
        <v>2025</v>
      </c>
      <c r="F46" s="2" t="s">
        <v>284</v>
      </c>
      <c r="G46" s="47">
        <v>3700000</v>
      </c>
      <c r="H46" s="48">
        <v>0.12</v>
      </c>
      <c r="I46" s="49">
        <f>Tabla2[[#This Row],[Monto 1% u Aporte ]]*Tabla2[[#This Row],[Tasa Propuesta Administración OTIC]]</f>
        <v>444000</v>
      </c>
      <c r="J46" s="2" t="s">
        <v>164</v>
      </c>
      <c r="K46" s="2" t="s">
        <v>207</v>
      </c>
      <c r="L46" s="2" t="s">
        <v>159</v>
      </c>
      <c r="M46" s="2" t="s">
        <v>166</v>
      </c>
      <c r="N46" s="10" t="s">
        <v>13</v>
      </c>
      <c r="O46" s="47">
        <v>4468947</v>
      </c>
      <c r="P46" s="50">
        <f>Tabla2[[#This Row],[Aporte Ingresado]]-Tabla2[[#This Row],[Monto 1% u Aporte ]]</f>
        <v>768947</v>
      </c>
      <c r="Q46" s="50" t="s">
        <v>302</v>
      </c>
      <c r="R46" s="50" t="s">
        <v>303</v>
      </c>
      <c r="S46" s="2"/>
      <c r="T46" s="51"/>
    </row>
    <row r="47" spans="1:20" hidden="1" x14ac:dyDescent="0.25">
      <c r="A47" s="45">
        <f t="shared" si="1"/>
        <v>46</v>
      </c>
      <c r="B47" s="1" t="s">
        <v>314</v>
      </c>
      <c r="C47" s="1" t="e">
        <f>VLOOKUP(Tabla2[[#This Row],[Empresa / Holding]],Tabla1[[#Headers],[#Data],[HOLDING]],1,0)</f>
        <v>#N/A</v>
      </c>
      <c r="D47" s="1"/>
      <c r="E47" s="46">
        <v>2025</v>
      </c>
      <c r="F47" s="2" t="s">
        <v>270</v>
      </c>
      <c r="G47" s="50">
        <v>2000000</v>
      </c>
      <c r="H47" s="48">
        <v>0.12</v>
      </c>
      <c r="I47" s="49">
        <f>Tabla2[[#This Row],[Monto 1% u Aporte ]]*Tabla2[[#This Row],[Tasa Propuesta Administración OTIC]]</f>
        <v>240000</v>
      </c>
      <c r="J47" s="2" t="s">
        <v>164</v>
      </c>
      <c r="K47" s="2" t="s">
        <v>207</v>
      </c>
      <c r="L47" s="2" t="s">
        <v>159</v>
      </c>
      <c r="M47" s="2" t="s">
        <v>176</v>
      </c>
      <c r="N47" s="10" t="s">
        <v>13</v>
      </c>
      <c r="O47" s="47">
        <v>2231712</v>
      </c>
      <c r="P47" s="50">
        <f>Tabla2[[#This Row],[Aporte Ingresado]]-Tabla2[[#This Row],[Monto 1% u Aporte ]]</f>
        <v>231712</v>
      </c>
      <c r="Q47" s="50"/>
      <c r="R47" s="50"/>
      <c r="S47" s="2"/>
      <c r="T47" s="51"/>
    </row>
    <row r="48" spans="1:20" hidden="1" x14ac:dyDescent="0.25">
      <c r="A48" s="108">
        <f t="shared" si="1"/>
        <v>47</v>
      </c>
      <c r="B48" s="23" t="s">
        <v>122</v>
      </c>
      <c r="C48" s="129" t="str">
        <f>VLOOKUP(Tabla2[[#This Row],[Empresa / Holding]],Tabla1[[#Headers],[#Data],[HOLDING]],1,0)</f>
        <v xml:space="preserve">NUEVO PUDAHUEL </v>
      </c>
      <c r="D48" s="129"/>
      <c r="E48" s="121">
        <v>2026</v>
      </c>
      <c r="F48" s="114"/>
      <c r="G48" s="119">
        <v>50000000</v>
      </c>
      <c r="H48" s="122">
        <v>0.08</v>
      </c>
      <c r="I48" s="123">
        <f>Tabla2[[#This Row],[Monto 1% u Aporte ]]*Tabla2[[#This Row],[Tasa Propuesta Administración OTIC]]</f>
        <v>4000000</v>
      </c>
      <c r="J48" s="114" t="s">
        <v>164</v>
      </c>
      <c r="K48" s="114" t="s">
        <v>346</v>
      </c>
      <c r="L48" s="114"/>
      <c r="M48" s="114" t="s">
        <v>266</v>
      </c>
      <c r="N48" s="118" t="s">
        <v>15</v>
      </c>
      <c r="O48" s="119">
        <v>0</v>
      </c>
      <c r="P48" s="119">
        <f>Tabla2[[#This Row],[Aporte Ingresado]]-Tabla2[[#This Row],[Monto 1% u Aporte ]]</f>
        <v>-50000000</v>
      </c>
      <c r="Q48" s="114" t="s">
        <v>347</v>
      </c>
      <c r="R48" s="124" t="s">
        <v>348</v>
      </c>
      <c r="S48" s="114" t="s">
        <v>349</v>
      </c>
      <c r="T48" s="125">
        <v>45980</v>
      </c>
    </row>
    <row r="49" spans="1:20" x14ac:dyDescent="0.25">
      <c r="A49" s="45">
        <f t="shared" si="1"/>
        <v>48</v>
      </c>
      <c r="B49" s="140" t="s">
        <v>334</v>
      </c>
      <c r="C49" s="140" t="str">
        <f>VLOOKUP(Tabla2[[#This Row],[Empresa / Holding]],Tabla1[[#Headers],[#Data],[HOLDING]],1,0)</f>
        <v>TATA</v>
      </c>
      <c r="D49" s="140" t="s">
        <v>699</v>
      </c>
      <c r="E49" s="46">
        <v>2025</v>
      </c>
      <c r="F49" s="2" t="s">
        <v>335</v>
      </c>
      <c r="G49" s="50">
        <v>40000000</v>
      </c>
      <c r="H49" s="48">
        <v>7.0000000000000007E-2</v>
      </c>
      <c r="I49" s="49">
        <f>Tabla2[[#This Row],[Monto 1% u Aporte ]]*Tabla2[[#This Row],[Tasa Propuesta Administración OTIC]]</f>
        <v>2800000.0000000005</v>
      </c>
      <c r="J49" s="2" t="s">
        <v>221</v>
      </c>
      <c r="K49" s="2" t="s">
        <v>212</v>
      </c>
      <c r="L49" s="2"/>
      <c r="M49" s="2" t="s">
        <v>166</v>
      </c>
      <c r="N49" s="10" t="s">
        <v>15</v>
      </c>
      <c r="O49" s="50">
        <v>0</v>
      </c>
      <c r="P49" s="50">
        <f>Tabla2[[#This Row],[Aporte Ingresado]]-Tabla2[[#This Row],[Monto 1% u Aporte ]]</f>
        <v>-40000000</v>
      </c>
      <c r="Q49" s="2" t="s">
        <v>336</v>
      </c>
      <c r="R49" s="2" t="s">
        <v>337</v>
      </c>
      <c r="S49" s="75" t="s">
        <v>338</v>
      </c>
      <c r="T49" s="51"/>
    </row>
    <row r="50" spans="1:20" x14ac:dyDescent="0.25">
      <c r="A50" s="45">
        <f t="shared" si="1"/>
        <v>49</v>
      </c>
      <c r="B50" s="1" t="s">
        <v>321</v>
      </c>
      <c r="C50" s="1" t="str">
        <f>VLOOKUP(Tabla2[[#This Row],[Empresa / Holding]],Tabla1[[#Headers],[#Data],[HOLDING]],1,0)</f>
        <v>VERISURE</v>
      </c>
      <c r="D50" s="129"/>
      <c r="E50" s="46">
        <v>2025</v>
      </c>
      <c r="F50" s="2"/>
      <c r="G50" s="50">
        <v>22000000</v>
      </c>
      <c r="H50" s="48">
        <v>0.02</v>
      </c>
      <c r="I50" s="49">
        <f>Tabla2[[#This Row],[Monto 1% u Aporte ]]*Tabla2[[#This Row],[Tasa Propuesta Administración OTIC]]</f>
        <v>440000</v>
      </c>
      <c r="J50" s="2" t="s">
        <v>164</v>
      </c>
      <c r="K50" s="2" t="s">
        <v>198</v>
      </c>
      <c r="L50" s="2"/>
      <c r="M50" s="2" t="s">
        <v>166</v>
      </c>
      <c r="N50" s="10" t="s">
        <v>15</v>
      </c>
      <c r="O50" s="50">
        <v>0</v>
      </c>
      <c r="P50" s="50">
        <f>Tabla2[[#This Row],[Aporte Ingresado]]-Tabla2[[#This Row],[Monto 1% u Aporte ]]</f>
        <v>-22000000</v>
      </c>
      <c r="Q50" s="2" t="s">
        <v>322</v>
      </c>
      <c r="R50" s="2" t="s">
        <v>323</v>
      </c>
      <c r="S50" s="2" t="s">
        <v>324</v>
      </c>
      <c r="T50" s="51"/>
    </row>
    <row r="51" spans="1:20" x14ac:dyDescent="0.25">
      <c r="A51" s="45">
        <f t="shared" si="1"/>
        <v>50</v>
      </c>
      <c r="B51" s="1" t="s">
        <v>325</v>
      </c>
      <c r="C51" s="1" t="str">
        <f>VLOOKUP(Tabla2[[#This Row],[Empresa / Holding]],Tabla1[[#Headers],[#Data],[HOLDING]],1,0)</f>
        <v xml:space="preserve">DPG CHILE </v>
      </c>
      <c r="D51" s="129"/>
      <c r="E51" s="46">
        <v>2025</v>
      </c>
      <c r="F51" s="2" t="s">
        <v>262</v>
      </c>
      <c r="G51" s="50">
        <v>19000000</v>
      </c>
      <c r="H51" s="74">
        <v>4.4999999999999998E-2</v>
      </c>
      <c r="I51" s="49">
        <f>Tabla2[[#This Row],[Monto 1% u Aporte ]]*Tabla2[[#This Row],[Tasa Propuesta Administración OTIC]]</f>
        <v>855000</v>
      </c>
      <c r="J51" s="2" t="s">
        <v>221</v>
      </c>
      <c r="K51" s="2" t="s">
        <v>207</v>
      </c>
      <c r="L51" s="2"/>
      <c r="M51" s="2" t="s">
        <v>166</v>
      </c>
      <c r="N51" s="10" t="s">
        <v>15</v>
      </c>
      <c r="O51" s="50">
        <v>0</v>
      </c>
      <c r="P51" s="50">
        <f>Tabla2[[#This Row],[Aporte Ingresado]]-Tabla2[[#This Row],[Monto 1% u Aporte ]]</f>
        <v>-19000000</v>
      </c>
      <c r="Q51" s="2" t="s">
        <v>326</v>
      </c>
      <c r="R51" s="53" t="s">
        <v>327</v>
      </c>
      <c r="S51" s="2" t="s">
        <v>328</v>
      </c>
      <c r="T51" s="51"/>
    </row>
    <row r="52" spans="1:20" x14ac:dyDescent="0.25">
      <c r="A52" s="45">
        <f t="shared" si="1"/>
        <v>51</v>
      </c>
      <c r="B52" s="1" t="s">
        <v>329</v>
      </c>
      <c r="C52" s="1" t="str">
        <f>VLOOKUP(Tabla2[[#This Row],[Empresa / Holding]],Tabla1[[#Headers],[#Data],[HOLDING]],1,0)</f>
        <v>Huevos Los Alemanes</v>
      </c>
      <c r="D52" s="129"/>
      <c r="E52" s="46">
        <v>2025</v>
      </c>
      <c r="F52" s="2"/>
      <c r="G52" s="50">
        <v>13000000</v>
      </c>
      <c r="H52" s="48">
        <v>0.12</v>
      </c>
      <c r="I52" s="49">
        <f>Tabla2[[#This Row],[Monto 1% u Aporte ]]*Tabla2[[#This Row],[Tasa Propuesta Administración OTIC]]</f>
        <v>1560000</v>
      </c>
      <c r="J52" s="2" t="s">
        <v>164</v>
      </c>
      <c r="K52" s="2" t="s">
        <v>330</v>
      </c>
      <c r="L52" s="2"/>
      <c r="M52" s="2" t="s">
        <v>166</v>
      </c>
      <c r="N52" s="10" t="s">
        <v>15</v>
      </c>
      <c r="O52" s="50">
        <v>0</v>
      </c>
      <c r="P52" s="50">
        <f>Tabla2[[#This Row],[Aporte Ingresado]]-Tabla2[[#This Row],[Monto 1% u Aporte ]]</f>
        <v>-13000000</v>
      </c>
      <c r="Q52" s="72" t="s">
        <v>331</v>
      </c>
      <c r="R52" s="53" t="s">
        <v>332</v>
      </c>
      <c r="S52" s="2" t="s">
        <v>333</v>
      </c>
      <c r="T52" s="51"/>
    </row>
    <row r="53" spans="1:20" x14ac:dyDescent="0.25">
      <c r="A53" s="45">
        <f t="shared" si="1"/>
        <v>52</v>
      </c>
      <c r="B53" s="1" t="s">
        <v>339</v>
      </c>
      <c r="C53" s="1" t="str">
        <f>VLOOKUP(Tabla2[[#This Row],[Empresa / Holding]],Tabla1[[#Headers],[#Data],[HOLDING]],1,0)</f>
        <v>REINSA</v>
      </c>
      <c r="D53" s="129"/>
      <c r="E53" s="46">
        <v>2026</v>
      </c>
      <c r="F53" s="2"/>
      <c r="G53" s="50">
        <v>5800000</v>
      </c>
      <c r="H53" s="48">
        <v>0.12</v>
      </c>
      <c r="I53" s="49">
        <f>Tabla2[[#This Row],[Monto 1% u Aporte ]]*Tabla2[[#This Row],[Tasa Propuesta Administración OTIC]]</f>
        <v>696000</v>
      </c>
      <c r="J53" s="2" t="s">
        <v>164</v>
      </c>
      <c r="K53" s="2"/>
      <c r="L53" s="2"/>
      <c r="M53" s="2" t="s">
        <v>28</v>
      </c>
      <c r="N53" s="10" t="s">
        <v>15</v>
      </c>
      <c r="O53" s="50">
        <v>0</v>
      </c>
      <c r="P53" s="50">
        <f>Tabla2[[#This Row],[Aporte Ingresado]]-Tabla2[[#This Row],[Monto 1% u Aporte ]]</f>
        <v>-5800000</v>
      </c>
      <c r="Q53" s="2" t="s">
        <v>340</v>
      </c>
      <c r="R53" s="53" t="s">
        <v>341</v>
      </c>
      <c r="S53" s="2" t="s">
        <v>175</v>
      </c>
      <c r="T53" s="51"/>
    </row>
    <row r="54" spans="1:20" x14ac:dyDescent="0.25">
      <c r="A54" s="45">
        <f t="shared" si="1"/>
        <v>53</v>
      </c>
      <c r="B54" s="140" t="s">
        <v>317</v>
      </c>
      <c r="C54" s="140" t="str">
        <f>VLOOKUP(Tabla2[[#This Row],[Empresa / Holding]],Tabla1[[#Headers],[#Data],[HOLDING]],1,0)</f>
        <v>Terra Ignota</v>
      </c>
      <c r="D54" s="140" t="s">
        <v>699</v>
      </c>
      <c r="E54" s="46">
        <v>2026</v>
      </c>
      <c r="F54" s="2"/>
      <c r="G54" s="50">
        <v>4500000</v>
      </c>
      <c r="H54" s="48">
        <v>0.09</v>
      </c>
      <c r="I54" s="49">
        <f>Tabla2[[#This Row],[Monto 1% u Aporte ]]*Tabla2[[#This Row],[Tasa Propuesta Administración OTIC]]</f>
        <v>405000</v>
      </c>
      <c r="J54" s="2" t="s">
        <v>164</v>
      </c>
      <c r="K54" s="2" t="s">
        <v>175</v>
      </c>
      <c r="L54" s="2"/>
      <c r="M54" s="2" t="s">
        <v>28</v>
      </c>
      <c r="N54" s="10" t="s">
        <v>15</v>
      </c>
      <c r="O54" s="50">
        <v>0</v>
      </c>
      <c r="P54" s="50">
        <f>Tabla2[[#This Row],[Aporte Ingresado]]-Tabla2[[#This Row],[Monto 1% u Aporte ]]</f>
        <v>-4500000</v>
      </c>
      <c r="Q54" s="2" t="s">
        <v>318</v>
      </c>
      <c r="R54" s="53" t="s">
        <v>319</v>
      </c>
      <c r="S54" s="2" t="s">
        <v>320</v>
      </c>
      <c r="T54" s="51"/>
    </row>
    <row r="55" spans="1:20" s="117" customFormat="1" x14ac:dyDescent="0.25">
      <c r="A55" s="45">
        <f t="shared" si="1"/>
        <v>54</v>
      </c>
      <c r="B55" s="140" t="s">
        <v>342</v>
      </c>
      <c r="C55" s="140" t="str">
        <f>VLOOKUP(Tabla2[[#This Row],[Empresa / Holding]],Tabla1[[#Headers],[#Data],[HOLDING]],1,0)</f>
        <v>WETRANSOPORT</v>
      </c>
      <c r="D55" s="140" t="s">
        <v>699</v>
      </c>
      <c r="E55" s="46">
        <v>2025</v>
      </c>
      <c r="F55" s="2"/>
      <c r="G55" s="76">
        <v>4000000</v>
      </c>
      <c r="H55" s="48">
        <v>0.12</v>
      </c>
      <c r="I55" s="49">
        <v>480000</v>
      </c>
      <c r="J55" s="2" t="s">
        <v>164</v>
      </c>
      <c r="K55" s="2" t="s">
        <v>171</v>
      </c>
      <c r="L55" s="2"/>
      <c r="M55" s="2" t="s">
        <v>343</v>
      </c>
      <c r="N55" s="2" t="s">
        <v>15</v>
      </c>
      <c r="O55" s="50">
        <v>0</v>
      </c>
      <c r="P55" s="50">
        <f>Tabla2[[#This Row],[Aporte Ingresado]]-Tabla2[[#This Row],[Monto 1% u Aporte ]]</f>
        <v>-4000000</v>
      </c>
      <c r="Q55" s="50" t="s">
        <v>344</v>
      </c>
      <c r="R55" s="59" t="s">
        <v>345</v>
      </c>
      <c r="S55" s="2"/>
      <c r="T55" s="51">
        <v>45980</v>
      </c>
    </row>
    <row r="56" spans="1:20" x14ac:dyDescent="0.25">
      <c r="A56" s="45">
        <f t="shared" si="1"/>
        <v>55</v>
      </c>
      <c r="B56" s="1" t="s">
        <v>460</v>
      </c>
      <c r="C56" s="1" t="str">
        <f>VLOOKUP(Tabla2[[#This Row],[Empresa / Holding]],Tabla1[[#Headers],[#Data],[HOLDING]],1,0)</f>
        <v>SALFA AUTOMOTRIZ</v>
      </c>
      <c r="D56" s="129"/>
      <c r="E56" s="46">
        <v>2025</v>
      </c>
      <c r="F56" s="2"/>
      <c r="G56" s="50">
        <v>470000000</v>
      </c>
      <c r="H56" s="48">
        <v>0.03</v>
      </c>
      <c r="I56" s="49">
        <f>Tabla2[[#This Row],[Monto 1% u Aporte ]]*Tabla2[[#This Row],[Tasa Propuesta Administración OTIC]]</f>
        <v>14100000</v>
      </c>
      <c r="J56" s="2" t="s">
        <v>164</v>
      </c>
      <c r="K56" s="2" t="s">
        <v>461</v>
      </c>
      <c r="L56" s="2"/>
      <c r="M56" s="2" t="s">
        <v>343</v>
      </c>
      <c r="N56" s="10" t="s">
        <v>179</v>
      </c>
      <c r="O56" s="50">
        <v>0</v>
      </c>
      <c r="P56" s="50">
        <f>Tabla2[[#This Row],[Aporte Ingresado]]-Tabla2[[#This Row],[Monto 1% u Aporte ]]</f>
        <v>-470000000</v>
      </c>
      <c r="Q56" s="2" t="s">
        <v>462</v>
      </c>
      <c r="R56" s="53" t="s">
        <v>463</v>
      </c>
      <c r="S56" s="2" t="s">
        <v>175</v>
      </c>
      <c r="T56" s="51">
        <v>45980</v>
      </c>
    </row>
    <row r="57" spans="1:20" x14ac:dyDescent="0.25">
      <c r="A57" s="45">
        <f t="shared" si="1"/>
        <v>56</v>
      </c>
      <c r="B57" s="1" t="s">
        <v>464</v>
      </c>
      <c r="C57" s="1" t="str">
        <f>VLOOKUP(Tabla2[[#This Row],[Empresa / Holding]],Tabla1[[#Headers],[#Data],[HOLDING]],1,0)</f>
        <v>WEIR MINERALS</v>
      </c>
      <c r="D57" s="129"/>
      <c r="E57" s="46">
        <v>2025</v>
      </c>
      <c r="F57" s="2"/>
      <c r="G57" s="50">
        <v>300000000</v>
      </c>
      <c r="H57" s="48">
        <v>0.04</v>
      </c>
      <c r="I57" s="49">
        <f>Tabla2[[#This Row],[Monto 1% u Aporte ]]*Tabla2[[#This Row],[Tasa Propuesta Administración OTIC]]</f>
        <v>12000000</v>
      </c>
      <c r="J57" s="2" t="s">
        <v>164</v>
      </c>
      <c r="K57" s="2" t="s">
        <v>165</v>
      </c>
      <c r="L57" s="2"/>
      <c r="M57" s="2" t="s">
        <v>343</v>
      </c>
      <c r="N57" s="10" t="s">
        <v>179</v>
      </c>
      <c r="O57" s="50">
        <v>0</v>
      </c>
      <c r="P57" s="50">
        <f>Tabla2[[#This Row],[Aporte Ingresado]]-Tabla2[[#This Row],[Monto 1% u Aporte ]]</f>
        <v>-300000000</v>
      </c>
      <c r="Q57" s="2" t="s">
        <v>465</v>
      </c>
      <c r="R57" s="53" t="s">
        <v>466</v>
      </c>
      <c r="S57" s="2" t="s">
        <v>467</v>
      </c>
      <c r="T57" s="51">
        <v>45980</v>
      </c>
    </row>
    <row r="58" spans="1:20" x14ac:dyDescent="0.25">
      <c r="A58" s="45">
        <f t="shared" si="1"/>
        <v>57</v>
      </c>
      <c r="B58" s="1" t="s">
        <v>389</v>
      </c>
      <c r="C58" s="1" t="e">
        <f>VLOOKUP(Tabla2[[#This Row],[Empresa / Holding]],Tabla1[[#Headers],[#Data],[HOLDING]],1,0)</f>
        <v>#N/A</v>
      </c>
      <c r="D58" s="129"/>
      <c r="E58" s="46">
        <v>2025</v>
      </c>
      <c r="F58" s="2"/>
      <c r="G58" s="50">
        <v>260000000</v>
      </c>
      <c r="H58" s="48">
        <v>0.09</v>
      </c>
      <c r="I58" s="49">
        <f>Tabla2[[#This Row],[Monto 1% u Aporte ]]*Tabla2[[#This Row],[Tasa Propuesta Administración OTIC]]</f>
        <v>23400000</v>
      </c>
      <c r="J58" s="2" t="s">
        <v>164</v>
      </c>
      <c r="K58" s="2" t="s">
        <v>207</v>
      </c>
      <c r="L58" s="2"/>
      <c r="M58" s="2" t="s">
        <v>343</v>
      </c>
      <c r="N58" s="10" t="s">
        <v>179</v>
      </c>
      <c r="O58" s="50">
        <v>0</v>
      </c>
      <c r="P58" s="50">
        <f>Tabla2[[#This Row],[Aporte Ingresado]]-Tabla2[[#This Row],[Monto 1% u Aporte ]]</f>
        <v>-260000000</v>
      </c>
      <c r="Q58" s="2" t="s">
        <v>390</v>
      </c>
      <c r="R58" s="134" t="s">
        <v>391</v>
      </c>
      <c r="S58" s="2" t="s">
        <v>392</v>
      </c>
      <c r="T58" s="51">
        <v>45772</v>
      </c>
    </row>
    <row r="59" spans="1:20" s="77" customFormat="1" hidden="1" x14ac:dyDescent="0.25">
      <c r="A59" s="45">
        <f t="shared" si="1"/>
        <v>58</v>
      </c>
      <c r="B59" s="1" t="s">
        <v>51</v>
      </c>
      <c r="C59" s="1" t="str">
        <f>VLOOKUP(Tabla2[[#This Row],[Empresa / Holding]],Tabla1[[#Headers],[#Data],[HOLDING]],1,0)</f>
        <v>GRUPO LAGOS</v>
      </c>
      <c r="D59" s="129"/>
      <c r="E59" s="46">
        <v>2025</v>
      </c>
      <c r="F59" s="2" t="s">
        <v>524</v>
      </c>
      <c r="G59" s="50">
        <v>160000000</v>
      </c>
      <c r="H59" s="48">
        <v>0.02</v>
      </c>
      <c r="I59" s="49">
        <f>Tabla2[[#This Row],[Monto 1% u Aporte ]]*Tabla2[[#This Row],[Tasa Propuesta Administración OTIC]]</f>
        <v>3200000</v>
      </c>
      <c r="J59" s="2" t="s">
        <v>164</v>
      </c>
      <c r="K59" s="2" t="s">
        <v>207</v>
      </c>
      <c r="L59" s="2"/>
      <c r="M59" s="2" t="s">
        <v>343</v>
      </c>
      <c r="N59" s="10" t="s">
        <v>179</v>
      </c>
      <c r="O59" s="47"/>
      <c r="P59" s="50">
        <f>Tabla2[[#This Row],[Aporte Ingresado]]-Tabla2[[#This Row],[Monto 1% u Aporte ]]</f>
        <v>-160000000</v>
      </c>
      <c r="Q59" s="50" t="s">
        <v>53</v>
      </c>
      <c r="R59" s="59" t="s">
        <v>52</v>
      </c>
      <c r="S59" s="2"/>
      <c r="T59" s="51"/>
    </row>
    <row r="60" spans="1:20" x14ac:dyDescent="0.25">
      <c r="A60" s="45">
        <f t="shared" si="1"/>
        <v>59</v>
      </c>
      <c r="B60" s="140" t="s">
        <v>520</v>
      </c>
      <c r="C60" s="140" t="str">
        <f>VLOOKUP(Tabla2[[#This Row],[Empresa / Holding]],Tabla1[[#Headers],[#Data],[HOLDING]],1,0)</f>
        <v>STRABAG</v>
      </c>
      <c r="D60" s="140" t="s">
        <v>699</v>
      </c>
      <c r="E60" s="46">
        <v>2025</v>
      </c>
      <c r="F60" s="2" t="s">
        <v>206</v>
      </c>
      <c r="G60" s="50">
        <v>125000000</v>
      </c>
      <c r="H60" s="48">
        <v>1.7000000000000001E-2</v>
      </c>
      <c r="I60" s="49">
        <f>Tabla2[[#This Row],[Monto 1% u Aporte ]]*Tabla2[[#This Row],[Tasa Propuesta Administración OTIC]]</f>
        <v>2125000</v>
      </c>
      <c r="J60" s="2" t="s">
        <v>164</v>
      </c>
      <c r="K60" s="2" t="s">
        <v>207</v>
      </c>
      <c r="L60" s="2"/>
      <c r="M60" s="2" t="s">
        <v>343</v>
      </c>
      <c r="N60" s="10" t="s">
        <v>179</v>
      </c>
      <c r="O60" s="47"/>
      <c r="P60" s="50">
        <f>Tabla2[[#This Row],[Aporte Ingresado]]-Tabla2[[#This Row],[Monto 1% u Aporte ]]</f>
        <v>-125000000</v>
      </c>
      <c r="Q60" s="50" t="s">
        <v>521</v>
      </c>
      <c r="R60" s="50" t="s">
        <v>522</v>
      </c>
      <c r="S60" s="2"/>
      <c r="T60" s="51"/>
    </row>
    <row r="61" spans="1:20" x14ac:dyDescent="0.25">
      <c r="A61" s="45">
        <f t="shared" si="1"/>
        <v>60</v>
      </c>
      <c r="B61" s="1" t="s">
        <v>513</v>
      </c>
      <c r="C61" s="1" t="str">
        <f>VLOOKUP(Tabla2[[#This Row],[Empresa / Holding]],Tabla1[[#Headers],[#Data],[HOLDING]],1,0)</f>
        <v xml:space="preserve">CONFUTURO </v>
      </c>
      <c r="D61" s="129"/>
      <c r="E61" s="46">
        <v>2025</v>
      </c>
      <c r="F61" s="2" t="s">
        <v>206</v>
      </c>
      <c r="G61" s="50">
        <v>125000000</v>
      </c>
      <c r="H61" s="48">
        <v>0.02</v>
      </c>
      <c r="I61" s="49">
        <f>Tabla2[[#This Row],[Monto 1% u Aporte ]]*Tabla2[[#This Row],[Tasa Propuesta Administración OTIC]]</f>
        <v>2500000</v>
      </c>
      <c r="J61" s="2" t="s">
        <v>514</v>
      </c>
      <c r="K61" s="2" t="s">
        <v>207</v>
      </c>
      <c r="L61" s="2"/>
      <c r="M61" s="2" t="s">
        <v>343</v>
      </c>
      <c r="N61" s="10" t="s">
        <v>179</v>
      </c>
      <c r="O61" s="47"/>
      <c r="P61" s="50">
        <f>Tabla2[[#This Row],[Aporte Ingresado]]-Tabla2[[#This Row],[Monto 1% u Aporte ]]</f>
        <v>-125000000</v>
      </c>
      <c r="Q61" s="50" t="s">
        <v>515</v>
      </c>
      <c r="R61" s="50" t="s">
        <v>516</v>
      </c>
      <c r="S61" s="2"/>
      <c r="T61" s="51"/>
    </row>
    <row r="62" spans="1:20" x14ac:dyDescent="0.25">
      <c r="A62" s="45">
        <f t="shared" si="1"/>
        <v>61</v>
      </c>
      <c r="B62" s="1" t="s">
        <v>527</v>
      </c>
      <c r="C62" s="1" t="str">
        <f>VLOOKUP(Tabla2[[#This Row],[Empresa / Holding]],Tabla1[[#Headers],[#Data],[HOLDING]],1,0)</f>
        <v>UNITED PIPELINE</v>
      </c>
      <c r="D62" s="1"/>
      <c r="E62" s="46">
        <v>2025</v>
      </c>
      <c r="F62" s="2" t="s">
        <v>288</v>
      </c>
      <c r="G62" s="50">
        <v>120000000</v>
      </c>
      <c r="H62" s="48">
        <v>0.04</v>
      </c>
      <c r="I62" s="49">
        <f>Tabla2[[#This Row],[Monto 1% u Aporte ]]*Tabla2[[#This Row],[Tasa Propuesta Administración OTIC]]</f>
        <v>4800000</v>
      </c>
      <c r="J62" s="2" t="s">
        <v>164</v>
      </c>
      <c r="K62" s="2" t="s">
        <v>207</v>
      </c>
      <c r="L62" s="2"/>
      <c r="M62" s="2" t="s">
        <v>343</v>
      </c>
      <c r="N62" s="10" t="s">
        <v>179</v>
      </c>
      <c r="O62" s="47"/>
      <c r="P62" s="50">
        <f>Tabla2[[#This Row],[Aporte Ingresado]]-Tabla2[[#This Row],[Monto 1% u Aporte ]]</f>
        <v>-120000000</v>
      </c>
      <c r="Q62" s="50"/>
      <c r="R62" s="50"/>
      <c r="S62" s="2"/>
      <c r="T62" s="51"/>
    </row>
    <row r="63" spans="1:20" x14ac:dyDescent="0.25">
      <c r="A63" s="45">
        <f t="shared" si="1"/>
        <v>62</v>
      </c>
      <c r="B63" s="1" t="s">
        <v>409</v>
      </c>
      <c r="C63" s="1" t="str">
        <f>VLOOKUP(Tabla2[[#This Row],[Empresa / Holding]],Tabla1[[#Headers],[#Data],[HOLDING]],1,0)</f>
        <v>AgroSonda</v>
      </c>
      <c r="D63" s="129"/>
      <c r="E63" s="46">
        <v>2025</v>
      </c>
      <c r="F63" s="2" t="s">
        <v>156</v>
      </c>
      <c r="G63" s="50">
        <v>120000000</v>
      </c>
      <c r="H63" s="48">
        <v>7.0000000000000007E-2</v>
      </c>
      <c r="I63" s="49">
        <f>Tabla2[[#This Row],[Monto 1% u Aporte ]]*Tabla2[[#This Row],[Tasa Propuesta Administración OTIC]]</f>
        <v>8400000</v>
      </c>
      <c r="J63" s="2" t="s">
        <v>164</v>
      </c>
      <c r="K63" s="2" t="s">
        <v>252</v>
      </c>
      <c r="L63" s="2"/>
      <c r="M63" s="2" t="s">
        <v>343</v>
      </c>
      <c r="N63" s="10" t="s">
        <v>179</v>
      </c>
      <c r="O63" s="50">
        <v>0</v>
      </c>
      <c r="P63" s="50">
        <f>Tabla2[[#This Row],[Aporte Ingresado]]-Tabla2[[#This Row],[Monto 1% u Aporte ]]</f>
        <v>-120000000</v>
      </c>
      <c r="Q63" s="2" t="s">
        <v>410</v>
      </c>
      <c r="R63" s="53" t="s">
        <v>411</v>
      </c>
      <c r="S63" s="2" t="s">
        <v>412</v>
      </c>
      <c r="T63" s="51">
        <v>45796</v>
      </c>
    </row>
    <row r="64" spans="1:20" s="78" customFormat="1" x14ac:dyDescent="0.25">
      <c r="A64" s="45">
        <f t="shared" si="1"/>
        <v>63</v>
      </c>
      <c r="B64" s="1" t="s">
        <v>401</v>
      </c>
      <c r="C64" s="1" t="str">
        <f>VLOOKUP(Tabla2[[#This Row],[Empresa / Holding]],Tabla1[[#Headers],[#Data],[HOLDING]],1,0)</f>
        <v>BITUMIX</v>
      </c>
      <c r="D64" s="129"/>
      <c r="E64" s="46">
        <v>2025</v>
      </c>
      <c r="F64" s="2"/>
      <c r="G64" s="50">
        <v>120000000</v>
      </c>
      <c r="H64" s="48">
        <v>0.15</v>
      </c>
      <c r="I64" s="49">
        <f>Tabla2[[#This Row],[Monto 1% u Aporte ]]*Tabla2[[#This Row],[Tasa Propuesta Administración OTIC]]</f>
        <v>18000000</v>
      </c>
      <c r="J64" s="2" t="s">
        <v>164</v>
      </c>
      <c r="K64" s="2" t="s">
        <v>402</v>
      </c>
      <c r="L64" s="2"/>
      <c r="M64" s="2" t="s">
        <v>343</v>
      </c>
      <c r="N64" s="10" t="s">
        <v>179</v>
      </c>
      <c r="O64" s="50">
        <v>0</v>
      </c>
      <c r="P64" s="50">
        <f>Tabla2[[#This Row],[Aporte Ingresado]]-Tabla2[[#This Row],[Monto 1% u Aporte ]]</f>
        <v>-120000000</v>
      </c>
      <c r="Q64" s="2" t="s">
        <v>403</v>
      </c>
      <c r="R64" s="53" t="s">
        <v>404</v>
      </c>
      <c r="S64" s="75" t="s">
        <v>405</v>
      </c>
      <c r="T64" s="51">
        <v>45747</v>
      </c>
    </row>
    <row r="65" spans="1:20" x14ac:dyDescent="0.25">
      <c r="A65" s="45">
        <f t="shared" si="1"/>
        <v>64</v>
      </c>
      <c r="B65" s="140" t="s">
        <v>705</v>
      </c>
      <c r="C65" s="140" t="str">
        <f>VLOOKUP(Tabla2[[#This Row],[Empresa / Holding]],Tabla1[[#Headers],[#Data],[HOLDING]],1,0)</f>
        <v>F. COANIL</v>
      </c>
      <c r="D65" s="140" t="s">
        <v>699</v>
      </c>
      <c r="E65" s="46">
        <v>2025</v>
      </c>
      <c r="F65" s="2" t="s">
        <v>506</v>
      </c>
      <c r="G65" s="50">
        <v>120000000</v>
      </c>
      <c r="H65" s="48"/>
      <c r="I65" s="49">
        <f>Tabla2[[#This Row],[Monto 1% u Aporte ]]*Tabla2[[#This Row],[Tasa Propuesta Administración OTIC]]</f>
        <v>0</v>
      </c>
      <c r="J65" s="2" t="s">
        <v>164</v>
      </c>
      <c r="K65" s="2" t="s">
        <v>226</v>
      </c>
      <c r="L65" s="2"/>
      <c r="M65" s="2" t="s">
        <v>343</v>
      </c>
      <c r="N65" s="10" t="s">
        <v>179</v>
      </c>
      <c r="O65" s="47">
        <v>0</v>
      </c>
      <c r="P65" s="50">
        <f>Tabla2[[#This Row],[Aporte Ingresado]]-Tabla2[[#This Row],[Monto 1% u Aporte ]]</f>
        <v>-120000000</v>
      </c>
      <c r="Q65" s="2" t="s">
        <v>507</v>
      </c>
      <c r="R65" s="53" t="s">
        <v>508</v>
      </c>
      <c r="S65" s="2"/>
      <c r="T65" s="51"/>
    </row>
    <row r="66" spans="1:20" x14ac:dyDescent="0.25">
      <c r="A66" s="45">
        <f t="shared" si="1"/>
        <v>65</v>
      </c>
      <c r="B66" s="1" t="s">
        <v>430</v>
      </c>
      <c r="C66" s="1" t="str">
        <f>VLOOKUP(Tabla2[[#This Row],[Empresa / Holding]],Tabla1[[#Headers],[#Data],[HOLDING]],1,0)</f>
        <v>Colegio San Ignacio</v>
      </c>
      <c r="D66" s="129"/>
      <c r="E66" s="46">
        <v>2025</v>
      </c>
      <c r="F66" s="2"/>
      <c r="G66" s="50">
        <v>77000000</v>
      </c>
      <c r="H66" s="48">
        <v>0.05</v>
      </c>
      <c r="I66" s="49">
        <f>Tabla2[[#This Row],[Monto 1% u Aporte ]]*Tabla2[[#This Row],[Tasa Propuesta Administración OTIC]]</f>
        <v>3850000</v>
      </c>
      <c r="J66" s="2" t="s">
        <v>164</v>
      </c>
      <c r="K66" s="2" t="s">
        <v>431</v>
      </c>
      <c r="L66" s="2"/>
      <c r="M66" s="2" t="s">
        <v>343</v>
      </c>
      <c r="N66" s="10" t="s">
        <v>179</v>
      </c>
      <c r="O66" s="50">
        <v>0</v>
      </c>
      <c r="P66" s="50">
        <f>Tabla2[[#This Row],[Aporte Ingresado]]-Tabla2[[#This Row],[Monto 1% u Aporte ]]</f>
        <v>-77000000</v>
      </c>
      <c r="Q66" s="2" t="s">
        <v>432</v>
      </c>
      <c r="R66" s="53" t="s">
        <v>433</v>
      </c>
      <c r="S66" s="2" t="s">
        <v>434</v>
      </c>
      <c r="T66" s="51">
        <v>45980</v>
      </c>
    </row>
    <row r="67" spans="1:20" x14ac:dyDescent="0.25">
      <c r="A67" s="45">
        <f t="shared" ref="A67:A98" si="2">A66+1</f>
        <v>66</v>
      </c>
      <c r="B67" s="1" t="s">
        <v>364</v>
      </c>
      <c r="C67" s="1" t="str">
        <f>VLOOKUP(Tabla2[[#This Row],[Empresa / Holding]],Tabla1[[#Headers],[#Data],[HOLDING]],1,0)</f>
        <v>TISAL</v>
      </c>
      <c r="D67" s="129"/>
      <c r="E67" s="46">
        <v>2025</v>
      </c>
      <c r="F67" s="2"/>
      <c r="G67" s="50">
        <v>72000000</v>
      </c>
      <c r="H67" s="48">
        <v>0.04</v>
      </c>
      <c r="I67" s="49">
        <f>Tabla2[[#This Row],[Monto 1% u Aporte ]]*Tabla2[[#This Row],[Tasa Propuesta Administración OTIC]]</f>
        <v>2880000</v>
      </c>
      <c r="J67" s="2" t="s">
        <v>164</v>
      </c>
      <c r="K67" s="2" t="s">
        <v>212</v>
      </c>
      <c r="L67" s="2"/>
      <c r="M67" s="2" t="s">
        <v>343</v>
      </c>
      <c r="N67" s="10" t="s">
        <v>179</v>
      </c>
      <c r="O67" s="50">
        <v>0</v>
      </c>
      <c r="P67" s="50">
        <f>Tabla2[[#This Row],[Aporte Ingresado]]-Tabla2[[#This Row],[Monto 1% u Aporte ]]</f>
        <v>-72000000</v>
      </c>
      <c r="Q67" s="3" t="s">
        <v>365</v>
      </c>
      <c r="R67" s="146" t="s">
        <v>366</v>
      </c>
      <c r="S67" s="2" t="s">
        <v>367</v>
      </c>
      <c r="T67" s="51">
        <v>45707</v>
      </c>
    </row>
    <row r="68" spans="1:20" x14ac:dyDescent="0.25">
      <c r="A68" s="45">
        <f t="shared" si="2"/>
        <v>67</v>
      </c>
      <c r="B68" s="1" t="s">
        <v>457</v>
      </c>
      <c r="C68" s="1" t="str">
        <f>VLOOKUP(Tabla2[[#This Row],[Empresa / Holding]],Tabla1[[#Headers],[#Data],[HOLDING]],1,0)</f>
        <v>GROWING</v>
      </c>
      <c r="D68" s="129"/>
      <c r="E68" s="46">
        <v>2025</v>
      </c>
      <c r="F68" s="2"/>
      <c r="G68" s="50">
        <v>50000000</v>
      </c>
      <c r="H68" s="48">
        <v>0.04</v>
      </c>
      <c r="I68" s="49">
        <f>Tabla2[[#This Row],[Monto 1% u Aporte ]]*Tabla2[[#This Row],[Tasa Propuesta Administración OTIC]]</f>
        <v>2000000</v>
      </c>
      <c r="J68" s="2" t="s">
        <v>164</v>
      </c>
      <c r="K68" s="2"/>
      <c r="L68" s="2"/>
      <c r="M68" s="2" t="s">
        <v>343</v>
      </c>
      <c r="N68" s="10" t="s">
        <v>179</v>
      </c>
      <c r="O68" s="50">
        <v>0</v>
      </c>
      <c r="P68" s="50">
        <f>Tabla2[[#This Row],[Aporte Ingresado]]-Tabla2[[#This Row],[Monto 1% u Aporte ]]</f>
        <v>-50000000</v>
      </c>
      <c r="Q68" s="2" t="s">
        <v>458</v>
      </c>
      <c r="R68" s="53" t="s">
        <v>459</v>
      </c>
      <c r="S68" s="2" t="s">
        <v>175</v>
      </c>
      <c r="T68" s="51">
        <v>45980</v>
      </c>
    </row>
    <row r="69" spans="1:20" x14ac:dyDescent="0.25">
      <c r="A69" s="45">
        <f t="shared" si="2"/>
        <v>68</v>
      </c>
      <c r="B69" s="1" t="s">
        <v>537</v>
      </c>
      <c r="C69" s="1" t="str">
        <f>VLOOKUP(Tabla2[[#This Row],[Empresa / Holding]],Tabla1[[#Headers],[#Data],[HOLDING]],1,0)</f>
        <v>ING. Y SERVICIOS PROPAMAT</v>
      </c>
      <c r="D69" s="1"/>
      <c r="E69" s="46">
        <v>2025</v>
      </c>
      <c r="F69" s="2" t="s">
        <v>288</v>
      </c>
      <c r="G69" s="50">
        <v>40000000</v>
      </c>
      <c r="H69" s="48">
        <v>0.1</v>
      </c>
      <c r="I69" s="49">
        <f>Tabla2[[#This Row],[Monto 1% u Aporte ]]*Tabla2[[#This Row],[Tasa Propuesta Administración OTIC]]</f>
        <v>4000000</v>
      </c>
      <c r="J69" s="2" t="s">
        <v>164</v>
      </c>
      <c r="K69" s="2" t="s">
        <v>207</v>
      </c>
      <c r="L69" s="2"/>
      <c r="M69" s="2" t="s">
        <v>343</v>
      </c>
      <c r="N69" s="10" t="s">
        <v>179</v>
      </c>
      <c r="O69" s="47"/>
      <c r="P69" s="50">
        <f>Tabla2[[#This Row],[Aporte Ingresado]]-Tabla2[[#This Row],[Monto 1% u Aporte ]]</f>
        <v>-40000000</v>
      </c>
      <c r="Q69" s="50"/>
      <c r="R69" s="50"/>
      <c r="S69" s="2"/>
      <c r="T69" s="51"/>
    </row>
    <row r="70" spans="1:20" x14ac:dyDescent="0.25">
      <c r="A70" s="45">
        <f t="shared" si="2"/>
        <v>69</v>
      </c>
      <c r="B70" s="1" t="s">
        <v>481</v>
      </c>
      <c r="C70" s="1" t="str">
        <f>VLOOKUP(Tabla2[[#This Row],[Empresa / Holding]],Tabla1[[#Headers],[#Data],[HOLDING]],1,0)</f>
        <v>MINERAL DRILLING</v>
      </c>
      <c r="D70" s="129"/>
      <c r="E70" s="46">
        <v>2025</v>
      </c>
      <c r="F70" s="2" t="s">
        <v>12</v>
      </c>
      <c r="G70" s="50">
        <v>40000000</v>
      </c>
      <c r="H70" s="48">
        <v>7.0000000000000007E-2</v>
      </c>
      <c r="I70" s="49">
        <f>Tabla2[[#This Row],[Monto 1% u Aporte ]]*Tabla2[[#This Row],[Tasa Propuesta Administración OTIC]]</f>
        <v>2800000.0000000005</v>
      </c>
      <c r="J70" s="2" t="s">
        <v>221</v>
      </c>
      <c r="K70" s="2" t="s">
        <v>171</v>
      </c>
      <c r="L70" s="2"/>
      <c r="M70" s="2" t="s">
        <v>343</v>
      </c>
      <c r="N70" s="10" t="s">
        <v>179</v>
      </c>
      <c r="O70" s="50">
        <v>0</v>
      </c>
      <c r="P70" s="50">
        <f>Tabla2[[#This Row],[Aporte Ingresado]]-Tabla2[[#This Row],[Monto 1% u Aporte ]]</f>
        <v>-40000000</v>
      </c>
      <c r="Q70" s="50" t="s">
        <v>482</v>
      </c>
      <c r="R70" s="50" t="s">
        <v>483</v>
      </c>
      <c r="S70" s="2" t="s">
        <v>484</v>
      </c>
      <c r="T70" s="51">
        <v>45980</v>
      </c>
    </row>
    <row r="71" spans="1:20" x14ac:dyDescent="0.25">
      <c r="A71" s="45">
        <f t="shared" si="2"/>
        <v>70</v>
      </c>
      <c r="B71" s="1" t="s">
        <v>496</v>
      </c>
      <c r="C71" s="1" t="str">
        <f>VLOOKUP(Tabla2[[#This Row],[Empresa / Holding]],Tabla1[[#Headers],[#Data],[HOLDING]],1,0)</f>
        <v xml:space="preserve">DIMACOFI </v>
      </c>
      <c r="D71" s="129"/>
      <c r="E71" s="46">
        <v>2025</v>
      </c>
      <c r="F71" s="2" t="s">
        <v>12</v>
      </c>
      <c r="G71" s="50">
        <v>40000000</v>
      </c>
      <c r="H71" s="48">
        <v>0.06</v>
      </c>
      <c r="I71" s="49">
        <f>Tabla2[[#This Row],[Monto 1% u Aporte ]]*Tabla2[[#This Row],[Tasa Propuesta Administración OTIC]]</f>
        <v>2400000</v>
      </c>
      <c r="J71" s="2" t="s">
        <v>164</v>
      </c>
      <c r="K71" s="2" t="s">
        <v>171</v>
      </c>
      <c r="L71" s="2"/>
      <c r="M71" s="2" t="s">
        <v>343</v>
      </c>
      <c r="N71" s="10" t="s">
        <v>179</v>
      </c>
      <c r="O71" s="50">
        <v>0</v>
      </c>
      <c r="P71" s="50">
        <f>Tabla2[[#This Row],[Aporte Ingresado]]-Tabla2[[#This Row],[Monto 1% u Aporte ]]</f>
        <v>-40000000</v>
      </c>
      <c r="Q71" s="50" t="s">
        <v>497</v>
      </c>
      <c r="R71" s="59" t="s">
        <v>498</v>
      </c>
      <c r="S71" s="2"/>
      <c r="T71" s="62"/>
    </row>
    <row r="72" spans="1:20" x14ac:dyDescent="0.25">
      <c r="A72" s="45">
        <f t="shared" si="2"/>
        <v>71</v>
      </c>
      <c r="B72" s="1" t="s">
        <v>360</v>
      </c>
      <c r="C72" s="1" t="str">
        <f>VLOOKUP(Tabla2[[#This Row],[Empresa / Holding]],Tabla1[[#Headers],[#Data],[HOLDING]],1,0)</f>
        <v>CLUB DEPORTIVO MANQUEHUE</v>
      </c>
      <c r="D72" s="129"/>
      <c r="E72" s="46">
        <v>2025</v>
      </c>
      <c r="F72" s="2"/>
      <c r="G72" s="50">
        <v>38000000</v>
      </c>
      <c r="H72" s="48">
        <v>0.06</v>
      </c>
      <c r="I72" s="49">
        <f>Tabla2[[#This Row],[Monto 1% u Aporte ]]*Tabla2[[#This Row],[Tasa Propuesta Administración OTIC]]</f>
        <v>2280000</v>
      </c>
      <c r="J72" s="2" t="s">
        <v>164</v>
      </c>
      <c r="K72" s="2" t="s">
        <v>198</v>
      </c>
      <c r="L72" s="2"/>
      <c r="M72" s="2" t="s">
        <v>343</v>
      </c>
      <c r="N72" s="10" t="s">
        <v>179</v>
      </c>
      <c r="O72" s="50">
        <v>0</v>
      </c>
      <c r="P72" s="50">
        <f>Tabla2[[#This Row],[Aporte Ingresado]]-Tabla2[[#This Row],[Monto 1% u Aporte ]]</f>
        <v>-38000000</v>
      </c>
      <c r="Q72" s="2" t="s">
        <v>361</v>
      </c>
      <c r="R72" s="53" t="s">
        <v>362</v>
      </c>
      <c r="S72" s="2" t="s">
        <v>363</v>
      </c>
      <c r="T72" s="51">
        <v>45772</v>
      </c>
    </row>
    <row r="73" spans="1:20" x14ac:dyDescent="0.25">
      <c r="A73" s="45">
        <f t="shared" si="2"/>
        <v>72</v>
      </c>
      <c r="B73" s="1" t="s">
        <v>385</v>
      </c>
      <c r="C73" s="1" t="str">
        <f>VLOOKUP(Tabla2[[#This Row],[Empresa / Holding]],Tabla1[[#Headers],[#Data],[HOLDING]],1,0)</f>
        <v>Amphos 21</v>
      </c>
      <c r="D73" s="129"/>
      <c r="E73" s="46">
        <v>2025</v>
      </c>
      <c r="F73" s="2"/>
      <c r="G73" s="50">
        <v>30000000</v>
      </c>
      <c r="H73" s="48">
        <v>0.05</v>
      </c>
      <c r="I73" s="49">
        <f>Tabla2[[#This Row],[Monto 1% u Aporte ]]*Tabla2[[#This Row],[Tasa Propuesta Administración OTIC]]</f>
        <v>1500000</v>
      </c>
      <c r="J73" s="2" t="s">
        <v>164</v>
      </c>
      <c r="K73" s="2" t="s">
        <v>226</v>
      </c>
      <c r="L73" s="2"/>
      <c r="M73" s="2" t="s">
        <v>343</v>
      </c>
      <c r="N73" s="10" t="s">
        <v>179</v>
      </c>
      <c r="O73" s="50">
        <v>0</v>
      </c>
      <c r="P73" s="50">
        <f>Tabla2[[#This Row],[Aporte Ingresado]]-Tabla2[[#This Row],[Monto 1% u Aporte ]]</f>
        <v>-30000000</v>
      </c>
      <c r="Q73" s="2" t="s">
        <v>386</v>
      </c>
      <c r="R73" s="53" t="s">
        <v>387</v>
      </c>
      <c r="S73" s="75" t="s">
        <v>388</v>
      </c>
      <c r="T73" s="51">
        <v>45768</v>
      </c>
    </row>
    <row r="74" spans="1:20" x14ac:dyDescent="0.25">
      <c r="A74" s="45">
        <f t="shared" si="2"/>
        <v>73</v>
      </c>
      <c r="B74" s="1" t="s">
        <v>372</v>
      </c>
      <c r="C74" s="1" t="str">
        <f>VLOOKUP(Tabla2[[#This Row],[Empresa / Holding]],Tabla1[[#Headers],[#Data],[HOLDING]],1,0)</f>
        <v>Plan Group</v>
      </c>
      <c r="D74" s="129"/>
      <c r="E74" s="46">
        <v>2025</v>
      </c>
      <c r="F74" s="2"/>
      <c r="G74" s="50">
        <v>25000000</v>
      </c>
      <c r="H74" s="48">
        <v>7.0000000000000007E-2</v>
      </c>
      <c r="I74" s="49">
        <f>Tabla2[[#This Row],[Monto 1% u Aporte ]]*Tabla2[[#This Row],[Tasa Propuesta Administración OTIC]]</f>
        <v>1750000.0000000002</v>
      </c>
      <c r="J74" s="2" t="s">
        <v>164</v>
      </c>
      <c r="K74" s="2" t="s">
        <v>226</v>
      </c>
      <c r="L74" s="2"/>
      <c r="M74" s="2" t="s">
        <v>343</v>
      </c>
      <c r="N74" s="10" t="s">
        <v>179</v>
      </c>
      <c r="O74" s="50">
        <v>0</v>
      </c>
      <c r="P74" s="50">
        <f>Tabla2[[#This Row],[Aporte Ingresado]]-Tabla2[[#This Row],[Monto 1% u Aporte ]]</f>
        <v>-25000000</v>
      </c>
      <c r="Q74" s="2" t="s">
        <v>373</v>
      </c>
      <c r="R74" s="53" t="s">
        <v>374</v>
      </c>
      <c r="S74" s="2" t="s">
        <v>375</v>
      </c>
      <c r="T74" s="51">
        <v>45980</v>
      </c>
    </row>
    <row r="75" spans="1:20" x14ac:dyDescent="0.25">
      <c r="A75" s="45">
        <f t="shared" si="2"/>
        <v>74</v>
      </c>
      <c r="B75" s="1" t="s">
        <v>528</v>
      </c>
      <c r="C75" s="1" t="str">
        <f>VLOOKUP(Tabla2[[#This Row],[Empresa / Holding]],Tabla1[[#Headers],[#Data],[HOLDING]],1,0)</f>
        <v>CANAL13 2026</v>
      </c>
      <c r="D75" s="1"/>
      <c r="E75" s="46">
        <v>2025</v>
      </c>
      <c r="F75" s="2" t="s">
        <v>529</v>
      </c>
      <c r="G75" s="50">
        <v>20000000</v>
      </c>
      <c r="H75" s="48">
        <v>7.0000000000000007E-2</v>
      </c>
      <c r="I75" s="49">
        <f>Tabla2[[#This Row],[Monto 1% u Aporte ]]*Tabla2[[#This Row],[Tasa Propuesta Administración OTIC]]</f>
        <v>1400000.0000000002</v>
      </c>
      <c r="J75" s="2" t="s">
        <v>530</v>
      </c>
      <c r="K75" s="2" t="s">
        <v>207</v>
      </c>
      <c r="L75" s="2"/>
      <c r="M75" s="2" t="s">
        <v>343</v>
      </c>
      <c r="N75" s="10" t="s">
        <v>179</v>
      </c>
      <c r="O75" s="47"/>
      <c r="P75" s="50">
        <f>Tabla2[[#This Row],[Aporte Ingresado]]-Tabla2[[#This Row],[Monto 1% u Aporte ]]</f>
        <v>-20000000</v>
      </c>
      <c r="Q75" s="50"/>
      <c r="R75" s="50"/>
      <c r="S75" s="2"/>
      <c r="T75" s="51"/>
    </row>
    <row r="76" spans="1:20" s="78" customFormat="1" x14ac:dyDescent="0.25">
      <c r="A76" s="45">
        <f t="shared" si="2"/>
        <v>75</v>
      </c>
      <c r="B76" s="1" t="s">
        <v>444</v>
      </c>
      <c r="C76" s="1" t="str">
        <f>VLOOKUP(Tabla2[[#This Row],[Empresa / Holding]],Tabla1[[#Headers],[#Data],[HOLDING]],1,0)</f>
        <v>CORPORACION PARA EL DESARROLLO DE SANTIAGO</v>
      </c>
      <c r="D76" s="1"/>
      <c r="E76" s="46">
        <v>2025</v>
      </c>
      <c r="F76" s="2"/>
      <c r="G76" s="50">
        <v>20000000</v>
      </c>
      <c r="H76" s="74">
        <v>0.125</v>
      </c>
      <c r="I76" s="49">
        <f>Tabla2[[#This Row],[Monto 1% u Aporte ]]*Tabla2[[#This Row],[Tasa Propuesta Administración OTIC]]</f>
        <v>2500000</v>
      </c>
      <c r="J76" s="2"/>
      <c r="K76" s="2"/>
      <c r="L76" s="2"/>
      <c r="M76" s="2" t="s">
        <v>343</v>
      </c>
      <c r="N76" s="10" t="s">
        <v>179</v>
      </c>
      <c r="O76" s="50">
        <v>0</v>
      </c>
      <c r="P76" s="50">
        <f>Tabla2[[#This Row],[Aporte Ingresado]]-Tabla2[[#This Row],[Monto 1% u Aporte ]]</f>
        <v>-20000000</v>
      </c>
      <c r="Q76" s="2"/>
      <c r="R76" s="53"/>
      <c r="S76" s="2" t="s">
        <v>175</v>
      </c>
      <c r="T76" s="51"/>
    </row>
    <row r="77" spans="1:20" x14ac:dyDescent="0.25">
      <c r="A77" s="45">
        <f t="shared" si="2"/>
        <v>76</v>
      </c>
      <c r="B77" s="1" t="s">
        <v>485</v>
      </c>
      <c r="C77" s="1" t="str">
        <f>VLOOKUP(Tabla2[[#This Row],[Empresa / Holding]],Tabla1[[#Headers],[#Data],[HOLDING]],1,0)</f>
        <v>CUMPLO</v>
      </c>
      <c r="D77" s="129"/>
      <c r="E77" s="46">
        <v>2025</v>
      </c>
      <c r="F77" s="2" t="s">
        <v>12</v>
      </c>
      <c r="G77" s="50">
        <v>20000000</v>
      </c>
      <c r="H77" s="48">
        <v>0.1</v>
      </c>
      <c r="I77" s="49">
        <f>Tabla2[[#This Row],[Monto 1% u Aporte ]]*Tabla2[[#This Row],[Tasa Propuesta Administración OTIC]]</f>
        <v>2000000</v>
      </c>
      <c r="J77" s="2" t="s">
        <v>164</v>
      </c>
      <c r="K77" s="60" t="s">
        <v>171</v>
      </c>
      <c r="L77" s="60"/>
      <c r="M77" s="2" t="s">
        <v>343</v>
      </c>
      <c r="N77" s="10" t="s">
        <v>179</v>
      </c>
      <c r="O77" s="50">
        <v>0</v>
      </c>
      <c r="P77" s="50">
        <f>Tabla2[[#This Row],[Aporte Ingresado]]-Tabla2[[#This Row],[Monto 1% u Aporte ]]</f>
        <v>-20000000</v>
      </c>
      <c r="Q77" s="50" t="s">
        <v>486</v>
      </c>
      <c r="R77" s="50" t="s">
        <v>487</v>
      </c>
      <c r="S77" s="2" t="s">
        <v>488</v>
      </c>
      <c r="T77" s="51">
        <v>45980</v>
      </c>
    </row>
    <row r="78" spans="1:20" x14ac:dyDescent="0.25">
      <c r="A78" s="45">
        <f t="shared" si="2"/>
        <v>77</v>
      </c>
      <c r="B78" s="1" t="s">
        <v>442</v>
      </c>
      <c r="C78" s="1" t="str">
        <f>VLOOKUP(Tabla2[[#This Row],[Empresa / Holding]],Tabla1[[#Headers],[#Data],[HOLDING]],1,0)</f>
        <v>FUNDACIÓN COANIQUEM</v>
      </c>
      <c r="D78" s="129"/>
      <c r="E78" s="46">
        <v>2025</v>
      </c>
      <c r="F78" s="2"/>
      <c r="G78" s="50">
        <v>20000000</v>
      </c>
      <c r="H78" s="48">
        <v>0.05</v>
      </c>
      <c r="I78" s="49">
        <f>Tabla2[[#This Row],[Monto 1% u Aporte ]]*Tabla2[[#This Row],[Tasa Propuesta Administración OTIC]]</f>
        <v>1000000</v>
      </c>
      <c r="J78" s="2" t="s">
        <v>164</v>
      </c>
      <c r="K78" s="2" t="s">
        <v>171</v>
      </c>
      <c r="L78" s="2"/>
      <c r="M78" s="2" t="s">
        <v>343</v>
      </c>
      <c r="N78" s="10" t="s">
        <v>179</v>
      </c>
      <c r="O78" s="50">
        <v>0</v>
      </c>
      <c r="P78" s="50">
        <f>Tabla2[[#This Row],[Aporte Ingresado]]-Tabla2[[#This Row],[Monto 1% u Aporte ]]</f>
        <v>-20000000</v>
      </c>
      <c r="Q78" s="2" t="s">
        <v>700</v>
      </c>
      <c r="R78" s="53" t="s">
        <v>701</v>
      </c>
      <c r="S78" s="2" t="s">
        <v>443</v>
      </c>
      <c r="T78" s="51">
        <v>45838</v>
      </c>
    </row>
    <row r="79" spans="1:20" x14ac:dyDescent="0.25">
      <c r="A79" s="45">
        <f t="shared" si="2"/>
        <v>78</v>
      </c>
      <c r="B79" s="1" t="s">
        <v>478</v>
      </c>
      <c r="C79" s="1" t="str">
        <f>VLOOKUP(Tabla2[[#This Row],[Empresa / Holding]],Tabla1[[#Headers],[#Data],[HOLDING]],1,0)</f>
        <v>RECOVER</v>
      </c>
      <c r="D79" s="129"/>
      <c r="E79" s="46">
        <v>2025</v>
      </c>
      <c r="F79" s="2"/>
      <c r="G79" s="76">
        <v>16000000</v>
      </c>
      <c r="H79" s="48">
        <v>0.08</v>
      </c>
      <c r="I79" s="49">
        <f>Tabla2[[#This Row],[Monto 1% u Aporte ]]*Tabla2[[#This Row],[Tasa Propuesta Administración OTIC]]</f>
        <v>1280000</v>
      </c>
      <c r="J79" s="2" t="s">
        <v>164</v>
      </c>
      <c r="K79" s="2" t="s">
        <v>226</v>
      </c>
      <c r="L79" s="2"/>
      <c r="M79" s="2" t="s">
        <v>343</v>
      </c>
      <c r="N79" s="2" t="s">
        <v>179</v>
      </c>
      <c r="O79" s="50">
        <v>0</v>
      </c>
      <c r="P79" s="50">
        <f>Tabla2[[#This Row],[Aporte Ingresado]]-Tabla2[[#This Row],[Monto 1% u Aporte ]]</f>
        <v>-16000000</v>
      </c>
      <c r="Q79" s="50" t="s">
        <v>479</v>
      </c>
      <c r="R79" s="50" t="s">
        <v>480</v>
      </c>
      <c r="S79" s="2"/>
      <c r="T79" s="51">
        <v>45980</v>
      </c>
    </row>
    <row r="80" spans="1:20" x14ac:dyDescent="0.25">
      <c r="A80" s="45">
        <f t="shared" si="2"/>
        <v>79</v>
      </c>
      <c r="B80" s="1" t="s">
        <v>489</v>
      </c>
      <c r="C80" s="1" t="str">
        <f>VLOOKUP(Tabla2[[#This Row],[Empresa / Holding]],Tabla1[[#Headers],[#Data],[HOLDING]],1,0)</f>
        <v>INGESAT</v>
      </c>
      <c r="D80" s="129"/>
      <c r="E80" s="46">
        <v>2025</v>
      </c>
      <c r="F80" s="2" t="s">
        <v>12</v>
      </c>
      <c r="G80" s="50">
        <v>15000000</v>
      </c>
      <c r="H80" s="48">
        <v>7.0000000000000007E-2</v>
      </c>
      <c r="I80" s="49">
        <f>Tabla2[[#This Row],[Monto 1% u Aporte ]]*Tabla2[[#This Row],[Tasa Propuesta Administración OTIC]]</f>
        <v>1050000</v>
      </c>
      <c r="J80" s="2" t="s">
        <v>164</v>
      </c>
      <c r="K80" s="2" t="s">
        <v>171</v>
      </c>
      <c r="L80" s="2"/>
      <c r="M80" s="2" t="s">
        <v>343</v>
      </c>
      <c r="N80" s="10" t="s">
        <v>179</v>
      </c>
      <c r="O80" s="50">
        <v>0</v>
      </c>
      <c r="P80" s="50">
        <f>Tabla2[[#This Row],[Aporte Ingresado]]-Tabla2[[#This Row],[Monto 1% u Aporte ]]</f>
        <v>-15000000</v>
      </c>
      <c r="Q80" s="50" t="s">
        <v>490</v>
      </c>
      <c r="R80" s="59" t="s">
        <v>491</v>
      </c>
      <c r="S80" s="2"/>
      <c r="T80" s="51">
        <v>45980</v>
      </c>
    </row>
    <row r="81" spans="1:20" hidden="1" x14ac:dyDescent="0.25">
      <c r="A81" s="108">
        <f t="shared" si="2"/>
        <v>80</v>
      </c>
      <c r="B81" s="120" t="s">
        <v>523</v>
      </c>
      <c r="C81" s="120" t="str">
        <f>VLOOKUP(Tabla2[[#This Row],[Empresa / Holding]],Tabla1[[#Headers],[#Data],[HOLDING]],1,0)</f>
        <v>AFP CAPITAL</v>
      </c>
      <c r="D81" s="120"/>
      <c r="E81" s="121">
        <v>2025</v>
      </c>
      <c r="F81" s="114" t="s">
        <v>524</v>
      </c>
      <c r="G81" s="119">
        <v>300000000</v>
      </c>
      <c r="H81" s="122">
        <v>0.05</v>
      </c>
      <c r="I81" s="123">
        <f>Tabla2[[#This Row],[Monto 1% u Aporte ]]*Tabla2[[#This Row],[Tasa Propuesta Administración OTIC]]</f>
        <v>15000000</v>
      </c>
      <c r="J81" s="114" t="s">
        <v>164</v>
      </c>
      <c r="K81" s="114" t="s">
        <v>207</v>
      </c>
      <c r="L81" s="114"/>
      <c r="M81" s="114" t="s">
        <v>343</v>
      </c>
      <c r="N81" s="118" t="s">
        <v>179</v>
      </c>
      <c r="O81" s="119"/>
      <c r="P81" s="119">
        <f>Tabla2[[#This Row],[Aporte Ingresado]]-Tabla2[[#This Row],[Monto 1% u Aporte ]]</f>
        <v>-300000000</v>
      </c>
      <c r="Q81" s="119" t="s">
        <v>525</v>
      </c>
      <c r="R81" s="145" t="s">
        <v>526</v>
      </c>
      <c r="S81" s="114"/>
      <c r="T81" s="125"/>
    </row>
    <row r="82" spans="1:20" x14ac:dyDescent="0.25">
      <c r="A82" s="45">
        <f t="shared" si="2"/>
        <v>81</v>
      </c>
      <c r="B82" s="140" t="s">
        <v>492</v>
      </c>
      <c r="C82" s="140" t="str">
        <f>VLOOKUP(Tabla2[[#This Row],[Empresa / Holding]],Tabla1[[#Headers],[#Data],[HOLDING]],1,0)</f>
        <v>ISDIN</v>
      </c>
      <c r="D82" s="140" t="s">
        <v>699</v>
      </c>
      <c r="E82" s="46">
        <v>2025</v>
      </c>
      <c r="F82" s="2" t="s">
        <v>493</v>
      </c>
      <c r="G82" s="50">
        <v>14932428</v>
      </c>
      <c r="H82" s="48">
        <v>0.08</v>
      </c>
      <c r="I82" s="49">
        <f>Tabla2[[#This Row],[Monto 1% u Aporte ]]*Tabla2[[#This Row],[Tasa Propuesta Administración OTIC]]</f>
        <v>1194594.24</v>
      </c>
      <c r="J82" s="2" t="s">
        <v>164</v>
      </c>
      <c r="K82" s="2" t="s">
        <v>171</v>
      </c>
      <c r="L82" s="2"/>
      <c r="M82" s="2" t="s">
        <v>343</v>
      </c>
      <c r="N82" s="10" t="s">
        <v>179</v>
      </c>
      <c r="O82" s="50">
        <v>0</v>
      </c>
      <c r="P82" s="50">
        <f>Tabla2[[#This Row],[Aporte Ingresado]]-Tabla2[[#This Row],[Monto 1% u Aporte ]]</f>
        <v>-14932428</v>
      </c>
      <c r="Q82" s="50" t="s">
        <v>494</v>
      </c>
      <c r="R82" s="50" t="s">
        <v>495</v>
      </c>
      <c r="S82" s="2"/>
      <c r="T82" s="51">
        <v>45980</v>
      </c>
    </row>
    <row r="83" spans="1:20" x14ac:dyDescent="0.25">
      <c r="A83" s="45">
        <f t="shared" si="2"/>
        <v>82</v>
      </c>
      <c r="B83" s="1" t="s">
        <v>417</v>
      </c>
      <c r="C83" s="1" t="str">
        <f>VLOOKUP(Tabla2[[#This Row],[Empresa / Holding]],Tabla1[[#Headers],[#Data],[HOLDING]],1,0)</f>
        <v>ACHOCLONADOS</v>
      </c>
      <c r="D83" s="129"/>
      <c r="E83" s="46">
        <v>2025</v>
      </c>
      <c r="F83" s="2"/>
      <c r="G83" s="50">
        <v>13000000</v>
      </c>
      <c r="H83" s="48">
        <v>7.0000000000000007E-2</v>
      </c>
      <c r="I83" s="49">
        <f>Tabla2[[#This Row],[Monto 1% u Aporte ]]*Tabla2[[#This Row],[Tasa Propuesta Administración OTIC]]</f>
        <v>910000.00000000012</v>
      </c>
      <c r="J83" s="2" t="s">
        <v>221</v>
      </c>
      <c r="K83" s="2" t="s">
        <v>212</v>
      </c>
      <c r="L83" s="2"/>
      <c r="M83" s="2" t="s">
        <v>343</v>
      </c>
      <c r="N83" s="10" t="s">
        <v>179</v>
      </c>
      <c r="O83" s="50">
        <v>0</v>
      </c>
      <c r="P83" s="50">
        <f>Tabla2[[#This Row],[Aporte Ingresado]]-Tabla2[[#This Row],[Monto 1% u Aporte ]]</f>
        <v>-13000000</v>
      </c>
      <c r="Q83" s="2" t="s">
        <v>418</v>
      </c>
      <c r="R83" s="134" t="s">
        <v>419</v>
      </c>
      <c r="S83" s="2" t="s">
        <v>420</v>
      </c>
      <c r="T83" s="51">
        <v>45980</v>
      </c>
    </row>
    <row r="84" spans="1:20" x14ac:dyDescent="0.25">
      <c r="A84" s="45">
        <f t="shared" si="2"/>
        <v>83</v>
      </c>
      <c r="B84" s="1" t="s">
        <v>509</v>
      </c>
      <c r="C84" s="1" t="str">
        <f>VLOOKUP(Tabla2[[#This Row],[Empresa / Holding]],Tabla1[[#Headers],[#Data],[HOLDING]],1,0)</f>
        <v>CLINICA TEERE</v>
      </c>
      <c r="D84" s="129"/>
      <c r="E84" s="46">
        <v>2025</v>
      </c>
      <c r="F84" s="2" t="s">
        <v>510</v>
      </c>
      <c r="G84" s="50">
        <v>13000000</v>
      </c>
      <c r="H84" s="48">
        <v>0.13</v>
      </c>
      <c r="I84" s="49">
        <f>Tabla2[[#This Row],[Monto 1% u Aporte ]]*Tabla2[[#This Row],[Tasa Propuesta Administración OTIC]]</f>
        <v>1690000</v>
      </c>
      <c r="J84" s="2" t="s">
        <v>221</v>
      </c>
      <c r="K84" s="2" t="s">
        <v>221</v>
      </c>
      <c r="L84" s="2"/>
      <c r="M84" s="2" t="s">
        <v>343</v>
      </c>
      <c r="N84" s="10" t="s">
        <v>179</v>
      </c>
      <c r="O84" s="47">
        <v>0</v>
      </c>
      <c r="P84" s="50">
        <f>Tabla2[[#This Row],[Aporte Ingresado]]-Tabla2[[#This Row],[Monto 1% u Aporte ]]</f>
        <v>-13000000</v>
      </c>
      <c r="Q84" s="50" t="s">
        <v>511</v>
      </c>
      <c r="R84" s="59" t="s">
        <v>512</v>
      </c>
      <c r="S84" s="2"/>
      <c r="T84" s="51"/>
    </row>
    <row r="85" spans="1:20" hidden="1" x14ac:dyDescent="0.25">
      <c r="A85" s="45">
        <f t="shared" si="2"/>
        <v>84</v>
      </c>
      <c r="B85" s="129" t="s">
        <v>105</v>
      </c>
      <c r="C85" s="129" t="str">
        <f>VLOOKUP(Tabla2[[#This Row],[Empresa / Holding]],Tabla1[[#Headers],[#Data],[HOLDING]],1,0)</f>
        <v>APSORAD</v>
      </c>
      <c r="D85" s="129"/>
      <c r="E85" s="46">
        <v>2025</v>
      </c>
      <c r="F85" s="2"/>
      <c r="G85" s="50">
        <v>6000000</v>
      </c>
      <c r="H85" s="48">
        <v>0.1</v>
      </c>
      <c r="I85" s="49">
        <f>Tabla2[[#This Row],[Monto 1% u Aporte ]]*Tabla2[[#This Row],[Tasa Propuesta Administración OTIC]]</f>
        <v>600000</v>
      </c>
      <c r="J85" s="2" t="s">
        <v>221</v>
      </c>
      <c r="K85" s="2" t="s">
        <v>171</v>
      </c>
      <c r="L85" s="2"/>
      <c r="M85" s="2" t="s">
        <v>343</v>
      </c>
      <c r="N85" s="10" t="s">
        <v>179</v>
      </c>
      <c r="O85" s="50">
        <v>0</v>
      </c>
      <c r="P85" s="50">
        <f>Tabla2[[#This Row],[Aporte Ingresado]]-Tabla2[[#This Row],[Monto 1% u Aporte ]]</f>
        <v>-6000000</v>
      </c>
      <c r="Q85" s="2" t="s">
        <v>435</v>
      </c>
      <c r="R85" s="53" t="s">
        <v>436</v>
      </c>
      <c r="S85" s="2" t="s">
        <v>437</v>
      </c>
      <c r="T85" s="51">
        <v>45813</v>
      </c>
    </row>
    <row r="86" spans="1:20" x14ac:dyDescent="0.25">
      <c r="A86" s="45">
        <f t="shared" si="2"/>
        <v>85</v>
      </c>
      <c r="B86" s="1" t="s">
        <v>475</v>
      </c>
      <c r="C86" s="1" t="str">
        <f>VLOOKUP(Tabla2[[#This Row],[Empresa / Holding]],Tabla1[[#Headers],[#Data],[HOLDING]],1,0)</f>
        <v>COLEGIO PILLIPPE COUSTEAU DE LA FLORIDA</v>
      </c>
      <c r="D86" s="129"/>
      <c r="E86" s="46">
        <v>2025</v>
      </c>
      <c r="F86" s="2"/>
      <c r="G86" s="76">
        <v>10300000</v>
      </c>
      <c r="H86" s="48">
        <v>0.12</v>
      </c>
      <c r="I86" s="49">
        <f>Tabla2[[#This Row],[Monto 1% u Aporte ]]*Tabla2[[#This Row],[Tasa Propuesta Administración OTIC]]</f>
        <v>1236000</v>
      </c>
      <c r="J86" s="2" t="s">
        <v>164</v>
      </c>
      <c r="K86" s="2" t="s">
        <v>226</v>
      </c>
      <c r="L86" s="2"/>
      <c r="M86" s="2" t="s">
        <v>343</v>
      </c>
      <c r="N86" s="2" t="s">
        <v>179</v>
      </c>
      <c r="O86" s="50">
        <v>0</v>
      </c>
      <c r="P86" s="50">
        <f>Tabla2[[#This Row],[Aporte Ingresado]]-Tabla2[[#This Row],[Monto 1% u Aporte ]]</f>
        <v>-10300000</v>
      </c>
      <c r="Q86" s="50" t="s">
        <v>476</v>
      </c>
      <c r="R86" s="50" t="s">
        <v>477</v>
      </c>
      <c r="S86" s="2"/>
      <c r="T86" s="51">
        <v>45980</v>
      </c>
    </row>
    <row r="87" spans="1:20" x14ac:dyDescent="0.25">
      <c r="A87" s="45">
        <f t="shared" si="2"/>
        <v>86</v>
      </c>
      <c r="B87" s="1" t="s">
        <v>468</v>
      </c>
      <c r="C87" s="1" t="str">
        <f>VLOOKUP(Tabla2[[#This Row],[Empresa / Holding]],Tabla1[[#Headers],[#Data],[HOLDING]],1,0)</f>
        <v>AMBIENTAL Y SECTORIAL</v>
      </c>
      <c r="D87" s="1"/>
      <c r="E87" s="46">
        <v>2025</v>
      </c>
      <c r="F87" s="2"/>
      <c r="G87" s="58">
        <v>10000000</v>
      </c>
      <c r="H87" s="48">
        <v>0.12</v>
      </c>
      <c r="I87" s="49">
        <v>1200000</v>
      </c>
      <c r="J87" s="2" t="s">
        <v>164</v>
      </c>
      <c r="K87" s="2" t="s">
        <v>171</v>
      </c>
      <c r="L87" s="2"/>
      <c r="M87" s="2" t="s">
        <v>343</v>
      </c>
      <c r="N87" s="2" t="s">
        <v>179</v>
      </c>
      <c r="O87" s="47">
        <v>0</v>
      </c>
      <c r="P87" s="47">
        <f>Tabla2[[#This Row],[Aporte Ingresado]]-Tabla2[[#This Row],[Monto 1% u Aporte ]]</f>
        <v>-10000000</v>
      </c>
      <c r="Q87" s="47"/>
      <c r="R87" s="47"/>
      <c r="S87" s="2"/>
      <c r="T87" s="62"/>
    </row>
    <row r="88" spans="1:20" x14ac:dyDescent="0.25">
      <c r="A88" s="45">
        <f t="shared" si="2"/>
        <v>87</v>
      </c>
      <c r="B88" s="79" t="s">
        <v>425</v>
      </c>
      <c r="C88" s="79" t="str">
        <f>VLOOKUP(Tabla2[[#This Row],[Empresa / Holding]],Tabla1[[#Headers],[#Data],[HOLDING]],1,0)</f>
        <v>IMELSA</v>
      </c>
      <c r="D88" s="133"/>
      <c r="E88" s="80">
        <v>2025</v>
      </c>
      <c r="F88" s="2"/>
      <c r="G88" s="95">
        <v>10000000</v>
      </c>
      <c r="H88" s="81">
        <v>0.12</v>
      </c>
      <c r="I88" s="49">
        <f>Tabla2[[#This Row],[Monto 1% u Aporte ]]*Tabla2[[#This Row],[Tasa Propuesta Administración OTIC]]</f>
        <v>1200000</v>
      </c>
      <c r="J88" s="2" t="s">
        <v>164</v>
      </c>
      <c r="K88" s="2" t="s">
        <v>426</v>
      </c>
      <c r="L88" s="2"/>
      <c r="M88" s="2" t="s">
        <v>343</v>
      </c>
      <c r="N88" s="10" t="s">
        <v>179</v>
      </c>
      <c r="O88" s="82">
        <v>0</v>
      </c>
      <c r="P88" s="50">
        <f>Tabla2[[#This Row],[Aporte Ingresado]]-Tabla2[[#This Row],[Monto 1% u Aporte ]]</f>
        <v>-10000000</v>
      </c>
      <c r="Q88" s="84" t="s">
        <v>427</v>
      </c>
      <c r="R88" s="96" t="s">
        <v>428</v>
      </c>
      <c r="S88" s="84" t="s">
        <v>429</v>
      </c>
      <c r="T88" s="85">
        <v>45807</v>
      </c>
    </row>
    <row r="89" spans="1:20" x14ac:dyDescent="0.25">
      <c r="A89" s="45">
        <f t="shared" si="2"/>
        <v>88</v>
      </c>
      <c r="B89" s="79" t="s">
        <v>421</v>
      </c>
      <c r="C89" s="79" t="str">
        <f>VLOOKUP(Tabla2[[#This Row],[Empresa / Holding]],Tabla1[[#Headers],[#Data],[HOLDING]],1,0)</f>
        <v>ENERFROST</v>
      </c>
      <c r="D89" s="133"/>
      <c r="E89" s="80">
        <v>2025</v>
      </c>
      <c r="F89" s="2"/>
      <c r="G89" s="82">
        <v>9700000</v>
      </c>
      <c r="H89" s="81">
        <v>0.1</v>
      </c>
      <c r="I89" s="49">
        <f>Tabla2[[#This Row],[Monto 1% u Aporte ]]*Tabla2[[#This Row],[Tasa Propuesta Administración OTIC]]</f>
        <v>970000</v>
      </c>
      <c r="J89" s="2" t="s">
        <v>164</v>
      </c>
      <c r="K89" s="84" t="s">
        <v>226</v>
      </c>
      <c r="L89" s="84"/>
      <c r="M89" s="2" t="s">
        <v>343</v>
      </c>
      <c r="N89" s="92" t="s">
        <v>179</v>
      </c>
      <c r="O89" s="50">
        <v>0</v>
      </c>
      <c r="P89" s="50">
        <f>Tabla2[[#This Row],[Aporte Ingresado]]-Tabla2[[#This Row],[Monto 1% u Aporte ]]</f>
        <v>-9700000</v>
      </c>
      <c r="Q89" s="84" t="s">
        <v>422</v>
      </c>
      <c r="R89" s="96" t="s">
        <v>423</v>
      </c>
      <c r="S89" s="84" t="s">
        <v>424</v>
      </c>
      <c r="T89" s="85">
        <v>45817</v>
      </c>
    </row>
    <row r="90" spans="1:20" x14ac:dyDescent="0.25">
      <c r="A90" s="45">
        <f t="shared" si="2"/>
        <v>89</v>
      </c>
      <c r="B90" s="79" t="s">
        <v>397</v>
      </c>
      <c r="C90" s="79" t="str">
        <f>VLOOKUP(Tabla2[[#This Row],[Empresa / Holding]],Tabla1[[#Headers],[#Data],[HOLDING]],1,0)</f>
        <v>LK tecnologia</v>
      </c>
      <c r="D90" s="133"/>
      <c r="E90" s="80">
        <v>2025</v>
      </c>
      <c r="F90" s="2"/>
      <c r="G90" s="82">
        <v>9000000</v>
      </c>
      <c r="H90" s="81">
        <v>0.1</v>
      </c>
      <c r="I90" s="49">
        <f>Tabla2[[#This Row],[Monto 1% u Aporte ]]*Tabla2[[#This Row],[Tasa Propuesta Administración OTIC]]</f>
        <v>900000</v>
      </c>
      <c r="J90" s="2" t="s">
        <v>164</v>
      </c>
      <c r="K90" s="2"/>
      <c r="L90" s="2"/>
      <c r="M90" s="2" t="s">
        <v>343</v>
      </c>
      <c r="N90" s="92" t="s">
        <v>179</v>
      </c>
      <c r="O90" s="50">
        <v>0</v>
      </c>
      <c r="P90" s="50">
        <f>Tabla2[[#This Row],[Aporte Ingresado]]-Tabla2[[#This Row],[Monto 1% u Aporte ]]</f>
        <v>-9000000</v>
      </c>
      <c r="Q90" s="84" t="s">
        <v>398</v>
      </c>
      <c r="R90" s="53" t="s">
        <v>399</v>
      </c>
      <c r="S90" s="98" t="s">
        <v>400</v>
      </c>
      <c r="T90" s="85"/>
    </row>
    <row r="91" spans="1:20" x14ac:dyDescent="0.25">
      <c r="A91" s="45">
        <f t="shared" si="2"/>
        <v>90</v>
      </c>
      <c r="B91" s="86" t="s">
        <v>406</v>
      </c>
      <c r="C91" s="86" t="str">
        <f>VLOOKUP(Tabla2[[#This Row],[Empresa / Holding]],Tabla1[[#Headers],[#Data],[HOLDING]],1,0)</f>
        <v>GEOINNOVA</v>
      </c>
      <c r="D91" s="131"/>
      <c r="E91" s="87">
        <v>2025</v>
      </c>
      <c r="F91" s="2"/>
      <c r="G91" s="95">
        <v>8900000</v>
      </c>
      <c r="H91" s="48">
        <v>0.08</v>
      </c>
      <c r="I91" s="49">
        <f>Tabla2[[#This Row],[Monto 1% u Aporte ]]*Tabla2[[#This Row],[Tasa Propuesta Administración OTIC]]</f>
        <v>712000</v>
      </c>
      <c r="J91" s="84" t="s">
        <v>164</v>
      </c>
      <c r="K91" s="2" t="s">
        <v>226</v>
      </c>
      <c r="L91" s="2"/>
      <c r="M91" s="2" t="s">
        <v>343</v>
      </c>
      <c r="N91" s="92" t="s">
        <v>179</v>
      </c>
      <c r="O91" s="50">
        <v>0</v>
      </c>
      <c r="P91" s="50">
        <f>Tabla2[[#This Row],[Aporte Ingresado]]-Tabla2[[#This Row],[Monto 1% u Aporte ]]</f>
        <v>-8900000</v>
      </c>
      <c r="Q91" s="2" t="s">
        <v>407</v>
      </c>
      <c r="R91" s="96" t="s">
        <v>408</v>
      </c>
      <c r="S91" s="75" t="s">
        <v>405</v>
      </c>
      <c r="T91" s="51">
        <v>45786</v>
      </c>
    </row>
    <row r="92" spans="1:20" x14ac:dyDescent="0.25">
      <c r="A92" s="45">
        <f t="shared" si="2"/>
        <v>91</v>
      </c>
      <c r="B92" s="88" t="s">
        <v>472</v>
      </c>
      <c r="C92" s="88" t="str">
        <f>VLOOKUP(Tabla2[[#This Row],[Empresa / Holding]],Tabla1[[#Headers],[#Data],[HOLDING]],1,0)</f>
        <v>NEWTRADE</v>
      </c>
      <c r="D92" s="130"/>
      <c r="E92" s="89">
        <v>2025</v>
      </c>
      <c r="F92" s="2"/>
      <c r="G92" s="99">
        <v>8500000</v>
      </c>
      <c r="H92" s="81">
        <v>0.1</v>
      </c>
      <c r="I92" s="91">
        <v>850000</v>
      </c>
      <c r="J92" s="2" t="s">
        <v>164</v>
      </c>
      <c r="K92" s="2" t="s">
        <v>171</v>
      </c>
      <c r="L92" s="2"/>
      <c r="M92" s="2" t="s">
        <v>343</v>
      </c>
      <c r="N92" s="84" t="s">
        <v>179</v>
      </c>
      <c r="O92" s="50">
        <v>0</v>
      </c>
      <c r="P92" s="50">
        <f>Tabla2[[#This Row],[Aporte Ingresado]]-Tabla2[[#This Row],[Monto 1% u Aporte ]]</f>
        <v>-8500000</v>
      </c>
      <c r="Q92" s="82" t="s">
        <v>473</v>
      </c>
      <c r="R92" s="84" t="s">
        <v>474</v>
      </c>
      <c r="S92" s="84"/>
      <c r="T92" s="85">
        <v>45980</v>
      </c>
    </row>
    <row r="93" spans="1:20" x14ac:dyDescent="0.25">
      <c r="A93" s="45">
        <f t="shared" si="2"/>
        <v>92</v>
      </c>
      <c r="B93" s="88" t="s">
        <v>503</v>
      </c>
      <c r="C93" s="88" t="str">
        <f>VLOOKUP(Tabla2[[#This Row],[Empresa / Holding]],Tabla1[[#Headers],[#Data],[HOLDING]],1,0)</f>
        <v>METALSHA</v>
      </c>
      <c r="D93" s="130"/>
      <c r="E93" s="89">
        <v>2025</v>
      </c>
      <c r="F93" s="84" t="s">
        <v>206</v>
      </c>
      <c r="G93" s="90">
        <v>8000000</v>
      </c>
      <c r="H93" s="81">
        <v>0.09</v>
      </c>
      <c r="I93" s="91">
        <f>Tabla2[[#This Row],[Monto 1% u Aporte ]]*Tabla2[[#This Row],[Tasa Propuesta Administración OTIC]]</f>
        <v>720000</v>
      </c>
      <c r="J93" s="84" t="s">
        <v>221</v>
      </c>
      <c r="K93" s="84" t="s">
        <v>171</v>
      </c>
      <c r="L93" s="84"/>
      <c r="M93" s="2" t="s">
        <v>343</v>
      </c>
      <c r="N93" s="10" t="s">
        <v>179</v>
      </c>
      <c r="O93" s="50">
        <v>0</v>
      </c>
      <c r="P93" s="50">
        <f>Tabla2[[#This Row],[Aporte Ingresado]]-Tabla2[[#This Row],[Monto 1% u Aporte ]]</f>
        <v>-8000000</v>
      </c>
      <c r="Q93" s="82" t="s">
        <v>504</v>
      </c>
      <c r="R93" s="93" t="s">
        <v>505</v>
      </c>
      <c r="S93" s="84"/>
      <c r="T93" s="85">
        <v>45973</v>
      </c>
    </row>
    <row r="94" spans="1:20" x14ac:dyDescent="0.25">
      <c r="A94" s="45">
        <f t="shared" si="2"/>
        <v>93</v>
      </c>
      <c r="B94" s="88" t="s">
        <v>368</v>
      </c>
      <c r="C94" s="88" t="str">
        <f>VLOOKUP(Tabla2[[#This Row],[Empresa / Holding]],Tabla1[[#Headers],[#Data],[HOLDING]],1,0)</f>
        <v>World Vision</v>
      </c>
      <c r="D94" s="130"/>
      <c r="E94" s="89">
        <v>2025</v>
      </c>
      <c r="F94" s="84"/>
      <c r="G94" s="90">
        <v>8000000</v>
      </c>
      <c r="H94" s="81">
        <v>7.0000000000000007E-2</v>
      </c>
      <c r="I94" s="91">
        <f>Tabla2[[#This Row],[Monto 1% u Aporte ]]*Tabla2[[#This Row],[Tasa Propuesta Administración OTIC]]</f>
        <v>560000</v>
      </c>
      <c r="J94" s="84" t="s">
        <v>221</v>
      </c>
      <c r="K94" s="84" t="s">
        <v>226</v>
      </c>
      <c r="L94" s="84"/>
      <c r="M94" s="2" t="s">
        <v>343</v>
      </c>
      <c r="N94" s="10" t="s">
        <v>179</v>
      </c>
      <c r="O94" s="50">
        <v>0</v>
      </c>
      <c r="P94" s="50">
        <f>Tabla2[[#This Row],[Aporte Ingresado]]-Tabla2[[#This Row],[Monto 1% u Aporte ]]</f>
        <v>-8000000</v>
      </c>
      <c r="Q94" s="84" t="s">
        <v>369</v>
      </c>
      <c r="R94" s="135" t="s">
        <v>370</v>
      </c>
      <c r="S94" s="84" t="s">
        <v>371</v>
      </c>
      <c r="T94" s="85">
        <v>45772</v>
      </c>
    </row>
    <row r="95" spans="1:20" x14ac:dyDescent="0.25">
      <c r="A95" s="45">
        <f t="shared" si="2"/>
        <v>94</v>
      </c>
      <c r="B95" s="88" t="s">
        <v>438</v>
      </c>
      <c r="C95" s="88" t="str">
        <f>VLOOKUP(Tabla2[[#This Row],[Empresa / Holding]],Tabla1[[#Headers],[#Data],[HOLDING]],1,0)</f>
        <v>Fundación Portas</v>
      </c>
      <c r="D95" s="130"/>
      <c r="E95" s="89">
        <v>2025</v>
      </c>
      <c r="F95" s="84"/>
      <c r="G95" s="90">
        <v>8000000</v>
      </c>
      <c r="H95" s="81">
        <v>0.15</v>
      </c>
      <c r="I95" s="91">
        <f>Tabla2[[#This Row],[Monto 1% u Aporte ]]*Tabla2[[#This Row],[Tasa Propuesta Administración OTIC]]</f>
        <v>1200000</v>
      </c>
      <c r="J95" s="84" t="s">
        <v>164</v>
      </c>
      <c r="K95" s="84" t="s">
        <v>346</v>
      </c>
      <c r="L95" s="84"/>
      <c r="M95" s="2" t="s">
        <v>343</v>
      </c>
      <c r="N95" s="92" t="s">
        <v>179</v>
      </c>
      <c r="O95" s="50">
        <v>0</v>
      </c>
      <c r="P95" s="50">
        <f>Tabla2[[#This Row],[Aporte Ingresado]]-Tabla2[[#This Row],[Monto 1% u Aporte ]]</f>
        <v>-8000000</v>
      </c>
      <c r="Q95" s="84" t="s">
        <v>439</v>
      </c>
      <c r="R95" s="96" t="s">
        <v>440</v>
      </c>
      <c r="S95" s="84" t="s">
        <v>441</v>
      </c>
      <c r="T95" s="85">
        <v>45796</v>
      </c>
    </row>
    <row r="96" spans="1:20" x14ac:dyDescent="0.25">
      <c r="A96" s="45">
        <f t="shared" si="2"/>
        <v>95</v>
      </c>
      <c r="B96" s="88" t="s">
        <v>383</v>
      </c>
      <c r="C96" s="88" t="str">
        <f>VLOOKUP(Tabla2[[#This Row],[Empresa / Holding]],Tabla1[[#Headers],[#Data],[HOLDING]],1,0)</f>
        <v>Cafexpress</v>
      </c>
      <c r="D96" s="88"/>
      <c r="E96" s="89">
        <v>2025</v>
      </c>
      <c r="F96" s="84"/>
      <c r="G96" s="90">
        <v>7525364</v>
      </c>
      <c r="H96" s="81">
        <v>0.06</v>
      </c>
      <c r="I96" s="91">
        <f>Tabla2[[#This Row],[Monto 1% u Aporte ]]*Tabla2[[#This Row],[Tasa Propuesta Administración OTIC]]</f>
        <v>451521.83999999997</v>
      </c>
      <c r="J96" s="84" t="s">
        <v>164</v>
      </c>
      <c r="K96" s="84" t="s">
        <v>384</v>
      </c>
      <c r="L96" s="84"/>
      <c r="M96" s="2" t="s">
        <v>343</v>
      </c>
      <c r="N96" s="92" t="s">
        <v>179</v>
      </c>
      <c r="O96" s="50">
        <v>0</v>
      </c>
      <c r="P96" s="50">
        <f>Tabla2[[#This Row],[Aporte Ingresado]]-Tabla2[[#This Row],[Monto 1% u Aporte ]]</f>
        <v>-7525364</v>
      </c>
      <c r="Q96" s="84"/>
      <c r="R96" s="84"/>
      <c r="S96" s="84" t="s">
        <v>175</v>
      </c>
      <c r="T96" s="85"/>
    </row>
    <row r="97" spans="1:20" hidden="1" x14ac:dyDescent="0.25">
      <c r="A97" s="45">
        <f t="shared" si="2"/>
        <v>96</v>
      </c>
      <c r="B97" s="86" t="s">
        <v>413</v>
      </c>
      <c r="C97" s="86" t="str">
        <f>VLOOKUP(Tabla2[[#This Row],[Empresa / Holding]],Tabla1[[#Headers],[#Data],[HOLDING]],1,0)</f>
        <v>CAE</v>
      </c>
      <c r="D97" s="131"/>
      <c r="E97" s="87">
        <v>2025</v>
      </c>
      <c r="F97" s="2"/>
      <c r="G97" s="95">
        <v>7000000</v>
      </c>
      <c r="H97" s="48">
        <v>0.08</v>
      </c>
      <c r="I97" s="49">
        <f>Tabla2[[#This Row],[Monto 1% u Aporte ]]*Tabla2[[#This Row],[Tasa Propuesta Administración OTIC]]</f>
        <v>560000</v>
      </c>
      <c r="J97" s="84" t="s">
        <v>164</v>
      </c>
      <c r="K97" s="84" t="s">
        <v>198</v>
      </c>
      <c r="L97" s="84"/>
      <c r="M97" s="2" t="s">
        <v>343</v>
      </c>
      <c r="N97" s="10" t="s">
        <v>179</v>
      </c>
      <c r="O97" s="50">
        <v>0</v>
      </c>
      <c r="P97" s="82">
        <f>Tabla2[[#This Row],[Aporte Ingresado]]-Tabla2[[#This Row],[Monto 1% u Aporte ]]</f>
        <v>-7000000</v>
      </c>
      <c r="Q97" s="84" t="s">
        <v>414</v>
      </c>
      <c r="R97" s="96" t="s">
        <v>415</v>
      </c>
      <c r="S97" s="84" t="s">
        <v>416</v>
      </c>
      <c r="T97" s="51">
        <v>45803</v>
      </c>
    </row>
    <row r="98" spans="1:20" x14ac:dyDescent="0.25">
      <c r="A98" s="45">
        <f t="shared" si="2"/>
        <v>97</v>
      </c>
      <c r="B98" s="86" t="s">
        <v>534</v>
      </c>
      <c r="C98" s="86" t="str">
        <f>VLOOKUP(Tabla2[[#This Row],[Empresa / Holding]],Tabla1[[#Headers],[#Data],[HOLDING]],1,0)</f>
        <v>HOME MOBILI</v>
      </c>
      <c r="D98" s="131"/>
      <c r="E98" s="87">
        <v>2025</v>
      </c>
      <c r="F98" s="2" t="s">
        <v>531</v>
      </c>
      <c r="G98" s="95">
        <v>5500000</v>
      </c>
      <c r="H98" s="48">
        <v>0.1</v>
      </c>
      <c r="I98" s="49">
        <f>Tabla2[[#This Row],[Monto 1% u Aporte ]]*Tabla2[[#This Row],[Tasa Propuesta Administración OTIC]]</f>
        <v>550000</v>
      </c>
      <c r="J98" s="2" t="s">
        <v>164</v>
      </c>
      <c r="K98" s="2" t="s">
        <v>207</v>
      </c>
      <c r="L98" s="2"/>
      <c r="M98" s="2" t="s">
        <v>343</v>
      </c>
      <c r="N98" s="10" t="s">
        <v>179</v>
      </c>
      <c r="O98" s="47"/>
      <c r="P98" s="82">
        <f>Tabla2[[#This Row],[Aporte Ingresado]]-Tabla2[[#This Row],[Monto 1% u Aporte ]]</f>
        <v>-5500000</v>
      </c>
      <c r="Q98" s="50" t="s">
        <v>535</v>
      </c>
      <c r="R98" s="59" t="s">
        <v>536</v>
      </c>
      <c r="S98" s="2"/>
      <c r="T98" s="51"/>
    </row>
    <row r="99" spans="1:20" x14ac:dyDescent="0.25">
      <c r="A99" s="108">
        <f t="shared" ref="A99:A130" si="3">A98+1</f>
        <v>98</v>
      </c>
      <c r="B99" s="130" t="s">
        <v>517</v>
      </c>
      <c r="C99" s="130" t="e">
        <f>VLOOKUP(Tabla2[[#This Row],[Empresa / Holding]],Tabla1[[#Headers],[#Data],[HOLDING]],1,0)</f>
        <v>#N/A</v>
      </c>
      <c r="D99" s="130"/>
      <c r="E99" s="109">
        <v>2025</v>
      </c>
      <c r="F99" s="110" t="s">
        <v>288</v>
      </c>
      <c r="G99" s="111">
        <v>80000000</v>
      </c>
      <c r="H99" s="112">
        <v>0.06</v>
      </c>
      <c r="I99" s="113">
        <f>Tabla2[[#This Row],[Monto 1% u Aporte ]]*Tabla2[[#This Row],[Tasa Propuesta Administración OTIC]]</f>
        <v>4800000</v>
      </c>
      <c r="J99" s="110" t="s">
        <v>164</v>
      </c>
      <c r="K99" s="110" t="s">
        <v>288</v>
      </c>
      <c r="L99" s="110"/>
      <c r="M99" s="114" t="s">
        <v>343</v>
      </c>
      <c r="N99" s="118" t="s">
        <v>179</v>
      </c>
      <c r="O99" s="119"/>
      <c r="P99" s="115">
        <f>Tabla2[[#This Row],[Aporte Ingresado]]-Tabla2[[#This Row],[Monto 1% u Aporte ]]</f>
        <v>-80000000</v>
      </c>
      <c r="Q99" s="115"/>
      <c r="R99" s="115"/>
      <c r="S99" s="110"/>
      <c r="T99" s="116"/>
    </row>
    <row r="100" spans="1:20" x14ac:dyDescent="0.25">
      <c r="A100" s="45">
        <f t="shared" si="3"/>
        <v>99</v>
      </c>
      <c r="B100" s="88" t="s">
        <v>376</v>
      </c>
      <c r="C100" s="88" t="str">
        <f>VLOOKUP(Tabla2[[#This Row],[Empresa / Holding]],Tabla1[[#Headers],[#Data],[HOLDING]],1,0)</f>
        <v>MetalMac</v>
      </c>
      <c r="D100" s="130"/>
      <c r="E100" s="89">
        <v>2025</v>
      </c>
      <c r="F100" s="84"/>
      <c r="G100" s="90">
        <v>5000000</v>
      </c>
      <c r="H100" s="81">
        <v>7.0000000000000007E-2</v>
      </c>
      <c r="I100" s="91">
        <f>Tabla2[[#This Row],[Monto 1% u Aporte ]]*Tabla2[[#This Row],[Tasa Propuesta Administración OTIC]]</f>
        <v>350000.00000000006</v>
      </c>
      <c r="J100" s="84" t="s">
        <v>164</v>
      </c>
      <c r="K100" s="84" t="s">
        <v>226</v>
      </c>
      <c r="L100" s="84"/>
      <c r="M100" s="2" t="s">
        <v>343</v>
      </c>
      <c r="N100" s="10" t="s">
        <v>179</v>
      </c>
      <c r="O100" s="82">
        <v>0</v>
      </c>
      <c r="P100" s="82">
        <f>Tabla2[[#This Row],[Aporte Ingresado]]-Tabla2[[#This Row],[Monto 1% u Aporte ]]</f>
        <v>-5000000</v>
      </c>
      <c r="Q100" s="2" t="s">
        <v>377</v>
      </c>
      <c r="R100" s="53" t="s">
        <v>378</v>
      </c>
      <c r="S100" s="2" t="s">
        <v>379</v>
      </c>
      <c r="T100" s="51">
        <v>45980</v>
      </c>
    </row>
    <row r="101" spans="1:20" x14ac:dyDescent="0.25">
      <c r="A101" s="45">
        <f t="shared" si="3"/>
        <v>100</v>
      </c>
      <c r="B101" s="88" t="s">
        <v>499</v>
      </c>
      <c r="C101" s="88" t="str">
        <f>VLOOKUP(Tabla2[[#This Row],[Empresa / Holding]],Tabla1[[#Headers],[#Data],[HOLDING]],1,0)</f>
        <v>MACLIDER</v>
      </c>
      <c r="D101" s="130"/>
      <c r="E101" s="89">
        <v>2025</v>
      </c>
      <c r="F101" s="84" t="s">
        <v>206</v>
      </c>
      <c r="G101" s="90">
        <v>3700000</v>
      </c>
      <c r="H101" s="81">
        <v>0.15</v>
      </c>
      <c r="I101" s="91">
        <f>Tabla2[[#This Row],[Monto 1% u Aporte ]]*Tabla2[[#This Row],[Tasa Propuesta Administración OTIC]]</f>
        <v>555000</v>
      </c>
      <c r="J101" s="2" t="s">
        <v>221</v>
      </c>
      <c r="K101" s="2" t="s">
        <v>171</v>
      </c>
      <c r="L101" s="2"/>
      <c r="M101" s="2" t="s">
        <v>343</v>
      </c>
      <c r="N101" s="10" t="s">
        <v>179</v>
      </c>
      <c r="O101" s="50">
        <v>0</v>
      </c>
      <c r="P101" s="82">
        <f>Tabla2[[#This Row],[Aporte Ingresado]]-Tabla2[[#This Row],[Monto 1% u Aporte ]]</f>
        <v>-3700000</v>
      </c>
      <c r="Q101" s="82" t="s">
        <v>500</v>
      </c>
      <c r="R101" s="93" t="s">
        <v>501</v>
      </c>
      <c r="S101" s="84" t="s">
        <v>502</v>
      </c>
      <c r="T101" s="85">
        <v>45986</v>
      </c>
    </row>
    <row r="102" spans="1:20" s="117" customFormat="1" x14ac:dyDescent="0.25">
      <c r="A102" s="45">
        <f t="shared" si="3"/>
        <v>101</v>
      </c>
      <c r="B102" s="88" t="s">
        <v>518</v>
      </c>
      <c r="C102" s="88" t="str">
        <f>VLOOKUP(Tabla2[[#This Row],[Empresa / Holding]],Tabla1[[#Headers],[#Data],[HOLDING]],1,0)</f>
        <v>AGENCIABLANCO</v>
      </c>
      <c r="D102" s="88"/>
      <c r="E102" s="89">
        <v>2025</v>
      </c>
      <c r="F102" s="84" t="s">
        <v>493</v>
      </c>
      <c r="G102" s="90">
        <v>2000000</v>
      </c>
      <c r="H102" s="81">
        <v>0.05</v>
      </c>
      <c r="I102" s="91">
        <f>Tabla2[[#This Row],[Monto 1% u Aporte ]]*Tabla2[[#This Row],[Tasa Propuesta Administración OTIC]]</f>
        <v>100000</v>
      </c>
      <c r="J102" s="2" t="s">
        <v>164</v>
      </c>
      <c r="K102" s="2" t="s">
        <v>519</v>
      </c>
      <c r="L102" s="2"/>
      <c r="M102" s="2" t="s">
        <v>343</v>
      </c>
      <c r="N102" s="10" t="s">
        <v>179</v>
      </c>
      <c r="O102" s="47"/>
      <c r="P102" s="82">
        <f>Tabla2[[#This Row],[Aporte Ingresado]]-Tabla2[[#This Row],[Monto 1% u Aporte ]]</f>
        <v>-2000000</v>
      </c>
      <c r="Q102" s="82"/>
      <c r="R102" s="82"/>
      <c r="S102" s="84"/>
      <c r="T102" s="85"/>
    </row>
    <row r="103" spans="1:20" hidden="1" x14ac:dyDescent="0.25">
      <c r="A103" s="45">
        <f t="shared" si="3"/>
        <v>102</v>
      </c>
      <c r="B103" s="130" t="s">
        <v>80</v>
      </c>
      <c r="C103" s="130" t="str">
        <f>VLOOKUP(Tabla2[[#This Row],[Empresa / Holding]],Tabla1[[#Headers],[#Data],[HOLDING]],1,0)</f>
        <v>FOURPOINTS</v>
      </c>
      <c r="D103" s="130"/>
      <c r="E103" s="89">
        <v>2025</v>
      </c>
      <c r="F103" s="84" t="s">
        <v>531</v>
      </c>
      <c r="G103" s="90">
        <v>10000000</v>
      </c>
      <c r="H103" s="81">
        <v>0.12</v>
      </c>
      <c r="I103" s="91">
        <f>Tabla2[[#This Row],[Monto 1% u Aporte ]]*Tabla2[[#This Row],[Tasa Propuesta Administración OTIC]]</f>
        <v>1200000</v>
      </c>
      <c r="J103" s="2" t="s">
        <v>164</v>
      </c>
      <c r="K103" s="2" t="s">
        <v>207</v>
      </c>
      <c r="L103" s="2"/>
      <c r="M103" s="2" t="s">
        <v>343</v>
      </c>
      <c r="N103" s="10" t="s">
        <v>179</v>
      </c>
      <c r="O103" s="47"/>
      <c r="P103" s="82">
        <f>Tabla2[[#This Row],[Aporte Ingresado]]-Tabla2[[#This Row],[Monto 1% u Aporte ]]</f>
        <v>-10000000</v>
      </c>
      <c r="Q103" s="82" t="s">
        <v>532</v>
      </c>
      <c r="R103" s="82" t="s">
        <v>533</v>
      </c>
      <c r="S103" s="84"/>
      <c r="T103" s="85"/>
    </row>
    <row r="104" spans="1:20" x14ac:dyDescent="0.25">
      <c r="A104" s="45">
        <f t="shared" si="3"/>
        <v>103</v>
      </c>
      <c r="B104" s="88" t="s">
        <v>393</v>
      </c>
      <c r="C104" s="88" t="str">
        <f>VLOOKUP(Tabla2[[#This Row],[Empresa / Holding]],Tabla1[[#Headers],[#Data],[HOLDING]],1,0)</f>
        <v>Fundición las rosas</v>
      </c>
      <c r="D104" s="130"/>
      <c r="E104" s="89">
        <v>2025</v>
      </c>
      <c r="F104" s="84"/>
      <c r="G104" s="90">
        <v>2000000</v>
      </c>
      <c r="H104" s="81">
        <v>0.15</v>
      </c>
      <c r="I104" s="91">
        <f>Tabla2[[#This Row],[Monto 1% u Aporte ]]*Tabla2[[#This Row],[Tasa Propuesta Administración OTIC]]</f>
        <v>300000</v>
      </c>
      <c r="J104" s="2" t="s">
        <v>221</v>
      </c>
      <c r="K104" s="2" t="s">
        <v>207</v>
      </c>
      <c r="L104" s="2"/>
      <c r="M104" s="2" t="s">
        <v>343</v>
      </c>
      <c r="N104" s="10" t="s">
        <v>179</v>
      </c>
      <c r="O104" s="50">
        <v>0</v>
      </c>
      <c r="P104" s="82">
        <f>Tabla2[[#This Row],[Aporte Ingresado]]-Tabla2[[#This Row],[Monto 1% u Aporte ]]</f>
        <v>-2000000</v>
      </c>
      <c r="Q104" s="84" t="s">
        <v>394</v>
      </c>
      <c r="R104" s="96" t="s">
        <v>395</v>
      </c>
      <c r="S104" s="98" t="s">
        <v>396</v>
      </c>
      <c r="T104" s="85">
        <v>45754</v>
      </c>
    </row>
    <row r="105" spans="1:20" s="117" customFormat="1" x14ac:dyDescent="0.25">
      <c r="A105" s="45">
        <f t="shared" si="3"/>
        <v>104</v>
      </c>
      <c r="B105" s="88" t="s">
        <v>356</v>
      </c>
      <c r="C105" s="88" t="str">
        <f>VLOOKUP(Tabla2[[#This Row],[Empresa / Holding]],Tabla1[[#Headers],[#Data],[HOLDING]],1,0)</f>
        <v>EDUDOWN - (A la Huerta de la Esquina)</v>
      </c>
      <c r="D105" s="130"/>
      <c r="E105" s="89">
        <v>2025</v>
      </c>
      <c r="F105" s="84"/>
      <c r="G105" s="90">
        <v>1940000</v>
      </c>
      <c r="H105" s="81">
        <v>0.13</v>
      </c>
      <c r="I105" s="91">
        <f>Tabla2[[#This Row],[Monto 1% u Aporte ]]*Tabla2[[#This Row],[Tasa Propuesta Administración OTIC]]</f>
        <v>252200</v>
      </c>
      <c r="J105" s="2" t="s">
        <v>164</v>
      </c>
      <c r="K105" s="84" t="s">
        <v>207</v>
      </c>
      <c r="L105" s="84"/>
      <c r="M105" s="2" t="s">
        <v>166</v>
      </c>
      <c r="N105" s="92" t="s">
        <v>179</v>
      </c>
      <c r="O105" s="82">
        <v>0</v>
      </c>
      <c r="P105" s="82">
        <f>Tabla2[[#This Row],[Aporte Ingresado]]-Tabla2[[#This Row],[Monto 1% u Aporte ]]</f>
        <v>-1940000</v>
      </c>
      <c r="Q105" s="84" t="s">
        <v>357</v>
      </c>
      <c r="R105" s="96" t="s">
        <v>358</v>
      </c>
      <c r="S105" s="84" t="s">
        <v>359</v>
      </c>
      <c r="T105" s="85">
        <v>45806</v>
      </c>
    </row>
    <row r="106" spans="1:20" x14ac:dyDescent="0.25">
      <c r="A106" s="45">
        <f t="shared" si="3"/>
        <v>105</v>
      </c>
      <c r="B106" s="88" t="s">
        <v>469</v>
      </c>
      <c r="C106" s="88" t="str">
        <f>VLOOKUP(Tabla2[[#This Row],[Empresa / Holding]],Tabla1[[#Headers],[#Data],[HOLDING]],1,0)</f>
        <v xml:space="preserve">MI TANI </v>
      </c>
      <c r="D106" s="130"/>
      <c r="E106" s="89">
        <v>2025</v>
      </c>
      <c r="F106" s="84" t="s">
        <v>12</v>
      </c>
      <c r="G106" s="99">
        <v>1900000</v>
      </c>
      <c r="H106" s="81">
        <v>0.15</v>
      </c>
      <c r="I106" s="91">
        <f>Tabla2[[#This Row],[Monto 1% u Aporte ]]*Tabla2[[#This Row],[Tasa Propuesta Administración OTIC]]</f>
        <v>285000</v>
      </c>
      <c r="J106" s="2" t="s">
        <v>164</v>
      </c>
      <c r="K106" s="84" t="s">
        <v>171</v>
      </c>
      <c r="L106" s="84"/>
      <c r="M106" s="2" t="s">
        <v>343</v>
      </c>
      <c r="N106" s="84" t="s">
        <v>179</v>
      </c>
      <c r="O106" s="82">
        <v>0</v>
      </c>
      <c r="P106" s="82">
        <f>Tabla2[[#This Row],[Aporte Ingresado]]-Tabla2[[#This Row],[Monto 1% u Aporte ]]</f>
        <v>-1900000</v>
      </c>
      <c r="Q106" s="83" t="s">
        <v>470</v>
      </c>
      <c r="R106" s="83" t="s">
        <v>471</v>
      </c>
      <c r="S106" s="84"/>
      <c r="T106" s="85">
        <v>45980</v>
      </c>
    </row>
    <row r="107" spans="1:20" x14ac:dyDescent="0.25">
      <c r="A107" s="45">
        <f t="shared" si="3"/>
        <v>106</v>
      </c>
      <c r="B107" s="88" t="s">
        <v>449</v>
      </c>
      <c r="C107" s="88" t="str">
        <f>VLOOKUP(Tabla2[[#This Row],[Empresa / Holding]],Tabla1[[#Headers],[#Data],[HOLDING]],1,0)</f>
        <v>INVINSA</v>
      </c>
      <c r="D107" s="130"/>
      <c r="E107" s="89">
        <v>2025</v>
      </c>
      <c r="F107" s="84"/>
      <c r="G107" s="90" t="s">
        <v>450</v>
      </c>
      <c r="H107" s="81">
        <v>0.05</v>
      </c>
      <c r="I107" s="91" t="s">
        <v>451</v>
      </c>
      <c r="J107" s="2" t="s">
        <v>164</v>
      </c>
      <c r="K107" s="84" t="s">
        <v>171</v>
      </c>
      <c r="L107" s="84"/>
      <c r="M107" s="2" t="s">
        <v>343</v>
      </c>
      <c r="N107" s="92" t="s">
        <v>179</v>
      </c>
      <c r="O107" s="82">
        <v>0</v>
      </c>
      <c r="P107" s="82">
        <v>0</v>
      </c>
      <c r="Q107" s="84" t="s">
        <v>452</v>
      </c>
      <c r="R107" s="96" t="s">
        <v>453</v>
      </c>
      <c r="S107" s="84" t="s">
        <v>175</v>
      </c>
      <c r="T107" s="85">
        <v>45980</v>
      </c>
    </row>
    <row r="108" spans="1:20" x14ac:dyDescent="0.25">
      <c r="A108" s="45">
        <f t="shared" si="3"/>
        <v>107</v>
      </c>
      <c r="B108" s="130" t="s">
        <v>445</v>
      </c>
      <c r="C108" s="130" t="str">
        <f>VLOOKUP(Tabla2[[#This Row],[Empresa / Holding]],Tabla1[[#Headers],[#Data],[HOLDING]],1,0)</f>
        <v>GEVIAL</v>
      </c>
      <c r="D108" s="130"/>
      <c r="E108" s="89">
        <v>2025</v>
      </c>
      <c r="F108" s="84"/>
      <c r="G108" s="90" t="s">
        <v>446</v>
      </c>
      <c r="H108" s="81">
        <v>7.0000000000000007E-2</v>
      </c>
      <c r="I108" s="91">
        <v>0</v>
      </c>
      <c r="J108" s="2" t="s">
        <v>164</v>
      </c>
      <c r="K108" s="84" t="s">
        <v>171</v>
      </c>
      <c r="L108" s="84"/>
      <c r="M108" s="2" t="s">
        <v>343</v>
      </c>
      <c r="N108" s="92" t="s">
        <v>179</v>
      </c>
      <c r="O108" s="82">
        <v>0</v>
      </c>
      <c r="P108" s="82" t="e">
        <f>Tabla2[[#This Row],[Aporte Ingresado]]-Tabla2[[#This Row],[Monto 1% u Aporte ]]</f>
        <v>#VALUE!</v>
      </c>
      <c r="Q108" s="84" t="s">
        <v>447</v>
      </c>
      <c r="R108" s="96" t="s">
        <v>725</v>
      </c>
      <c r="S108" s="84" t="s">
        <v>448</v>
      </c>
      <c r="T108" s="85">
        <v>45980</v>
      </c>
    </row>
    <row r="109" spans="1:20" x14ac:dyDescent="0.25">
      <c r="A109" s="45">
        <f t="shared" si="3"/>
        <v>108</v>
      </c>
      <c r="B109" s="88" t="s">
        <v>454</v>
      </c>
      <c r="C109" s="88" t="str">
        <f>VLOOKUP(Tabla2[[#This Row],[Empresa / Holding]],Tabla1[[#Headers],[#Data],[HOLDING]],1,0)</f>
        <v>NETAXION</v>
      </c>
      <c r="D109" s="130"/>
      <c r="E109" s="89">
        <v>2025</v>
      </c>
      <c r="F109" s="84"/>
      <c r="G109" s="90" t="s">
        <v>450</v>
      </c>
      <c r="H109" s="81">
        <v>0.05</v>
      </c>
      <c r="I109" s="91" t="s">
        <v>451</v>
      </c>
      <c r="J109" s="2" t="s">
        <v>164</v>
      </c>
      <c r="K109" s="84" t="s">
        <v>171</v>
      </c>
      <c r="L109" s="84"/>
      <c r="M109" s="2" t="s">
        <v>343</v>
      </c>
      <c r="N109" s="92" t="s">
        <v>179</v>
      </c>
      <c r="O109" s="82">
        <v>0</v>
      </c>
      <c r="P109" s="82">
        <v>0</v>
      </c>
      <c r="Q109" s="84" t="s">
        <v>455</v>
      </c>
      <c r="R109" s="135" t="s">
        <v>456</v>
      </c>
      <c r="S109" s="84" t="s">
        <v>175</v>
      </c>
      <c r="T109" s="85">
        <v>45980</v>
      </c>
    </row>
    <row r="110" spans="1:20" x14ac:dyDescent="0.25">
      <c r="A110" s="45">
        <f t="shared" si="3"/>
        <v>109</v>
      </c>
      <c r="B110" s="130" t="s">
        <v>967</v>
      </c>
      <c r="C110" s="130" t="str">
        <f>VLOOKUP(Tabla2[[#This Row],[Empresa / Holding]],Tabla1[[#Headers],[#Data],[HOLDING]],1,0)</f>
        <v>GXO</v>
      </c>
      <c r="D110" s="130"/>
      <c r="E110" s="89">
        <v>2025</v>
      </c>
      <c r="F110" s="84"/>
      <c r="G110" s="90">
        <v>6600000</v>
      </c>
      <c r="H110" s="81">
        <v>7.0000000000000007E-2</v>
      </c>
      <c r="I110" s="91">
        <f>Tabla2[[#This Row],[Monto 1% u Aporte ]]*Tabla2[[#This Row],[Tasa Propuesta Administración OTIC]]</f>
        <v>462000.00000000006</v>
      </c>
      <c r="J110" s="2" t="s">
        <v>164</v>
      </c>
      <c r="K110" s="84" t="s">
        <v>226</v>
      </c>
      <c r="L110" s="84"/>
      <c r="M110" s="2" t="s">
        <v>343</v>
      </c>
      <c r="N110" s="92" t="s">
        <v>179</v>
      </c>
      <c r="O110" s="82">
        <v>0</v>
      </c>
      <c r="P110" s="82">
        <f>Tabla2[[#This Row],[Aporte Ingresado]]-Tabla2[[#This Row],[Monto 1% u Aporte ]]</f>
        <v>-6600000</v>
      </c>
      <c r="Q110" s="84" t="s">
        <v>380</v>
      </c>
      <c r="R110" s="84" t="s">
        <v>381</v>
      </c>
      <c r="S110" s="84" t="s">
        <v>382</v>
      </c>
      <c r="T110" s="85">
        <v>45772</v>
      </c>
    </row>
    <row r="111" spans="1:20" x14ac:dyDescent="0.25">
      <c r="A111" s="45">
        <f t="shared" si="3"/>
        <v>110</v>
      </c>
      <c r="B111" s="88" t="s">
        <v>350</v>
      </c>
      <c r="C111" s="88" t="str">
        <f>VLOOKUP(Tabla2[[#This Row],[Empresa / Holding]],Tabla1[[#Headers],[#Data],[HOLDING]],1,0)</f>
        <v>ORICA</v>
      </c>
      <c r="D111" s="130"/>
      <c r="E111" s="89">
        <v>2025</v>
      </c>
      <c r="F111" s="84" t="s">
        <v>220</v>
      </c>
      <c r="G111" s="90" t="s">
        <v>351</v>
      </c>
      <c r="H111" s="81">
        <v>0.05</v>
      </c>
      <c r="I111" s="91" t="s">
        <v>352</v>
      </c>
      <c r="J111" s="2" t="s">
        <v>164</v>
      </c>
      <c r="K111" s="84" t="s">
        <v>252</v>
      </c>
      <c r="L111" s="84"/>
      <c r="M111" s="2" t="s">
        <v>353</v>
      </c>
      <c r="N111" s="92" t="s">
        <v>179</v>
      </c>
      <c r="O111" s="82">
        <v>0</v>
      </c>
      <c r="P111" s="82">
        <v>0</v>
      </c>
      <c r="Q111" s="84" t="s">
        <v>354</v>
      </c>
      <c r="R111" s="96" t="s">
        <v>355</v>
      </c>
      <c r="S111" s="84" t="s">
        <v>175</v>
      </c>
      <c r="T111" s="85"/>
    </row>
    <row r="112" spans="1:20" x14ac:dyDescent="0.25">
      <c r="A112" s="45">
        <f t="shared" si="3"/>
        <v>111</v>
      </c>
      <c r="B112" s="88" t="s">
        <v>542</v>
      </c>
      <c r="C112" s="88" t="str">
        <f>VLOOKUP(Tabla2[[#This Row],[Empresa / Holding]],Tabla1[[#Headers],[#Data],[HOLDING]],1,0)</f>
        <v>SACYR</v>
      </c>
      <c r="D112" s="130"/>
      <c r="E112" s="89">
        <v>2025</v>
      </c>
      <c r="F112" s="84" t="s">
        <v>226</v>
      </c>
      <c r="G112" s="90">
        <v>350000000</v>
      </c>
      <c r="H112" s="81">
        <v>0.03</v>
      </c>
      <c r="I112" s="91">
        <f>Tabla2[[#This Row],[Monto 1% u Aporte ]]*Tabla2[[#This Row],[Tasa Propuesta Administración OTIC]]</f>
        <v>10500000</v>
      </c>
      <c r="J112" s="2" t="s">
        <v>514</v>
      </c>
      <c r="K112" s="84" t="s">
        <v>543</v>
      </c>
      <c r="L112" s="84"/>
      <c r="M112" s="2" t="s">
        <v>343</v>
      </c>
      <c r="N112" s="92" t="s">
        <v>14</v>
      </c>
      <c r="O112" s="97">
        <v>0</v>
      </c>
      <c r="P112" s="82">
        <f>Tabla2[[#This Row],[Aporte Ingresado]]-Tabla2[[#This Row],[Monto 1% u Aporte ]]</f>
        <v>-350000000</v>
      </c>
      <c r="Q112" s="144" t="s">
        <v>544</v>
      </c>
      <c r="R112" s="144" t="s">
        <v>545</v>
      </c>
      <c r="S112" s="98" t="s">
        <v>546</v>
      </c>
      <c r="T112" s="147">
        <v>45996</v>
      </c>
    </row>
    <row r="113" spans="1:20" x14ac:dyDescent="0.25">
      <c r="A113" s="45">
        <f t="shared" si="3"/>
        <v>112</v>
      </c>
      <c r="B113" s="88" t="s">
        <v>538</v>
      </c>
      <c r="C113" s="88" t="str">
        <f>VLOOKUP(Tabla2[[#This Row],[Empresa / Holding]],Tabla1[[#Headers],[#Data],[HOLDING]],1,0)</f>
        <v xml:space="preserve">PROGESTIÓN </v>
      </c>
      <c r="D113" s="130"/>
      <c r="E113" s="89">
        <v>2025</v>
      </c>
      <c r="F113" s="84" t="s">
        <v>493</v>
      </c>
      <c r="G113" s="90">
        <v>280000000</v>
      </c>
      <c r="H113" s="81">
        <v>0.03</v>
      </c>
      <c r="I113" s="91">
        <f>Tabla2[[#This Row],[Monto 1% u Aporte ]]*Tabla2[[#This Row],[Tasa Propuesta Administración OTIC]]</f>
        <v>8400000</v>
      </c>
      <c r="J113" s="2" t="s">
        <v>157</v>
      </c>
      <c r="K113" s="84" t="s">
        <v>171</v>
      </c>
      <c r="L113" s="84"/>
      <c r="M113" s="2" t="s">
        <v>343</v>
      </c>
      <c r="N113" s="92" t="s">
        <v>14</v>
      </c>
      <c r="O113" s="97">
        <v>0</v>
      </c>
      <c r="P113" s="82">
        <f>Tabla2[[#This Row],[Aporte Ingresado]]-Tabla2[[#This Row],[Monto 1% u Aporte ]]</f>
        <v>-280000000</v>
      </c>
      <c r="Q113" s="82" t="s">
        <v>539</v>
      </c>
      <c r="R113" s="82" t="s">
        <v>540</v>
      </c>
      <c r="S113" s="84" t="s">
        <v>541</v>
      </c>
      <c r="T113" s="85">
        <v>45993</v>
      </c>
    </row>
    <row r="114" spans="1:20" x14ac:dyDescent="0.25">
      <c r="A114" s="45">
        <f t="shared" si="3"/>
        <v>113</v>
      </c>
      <c r="B114" s="88" t="s">
        <v>567</v>
      </c>
      <c r="C114" s="88" t="str">
        <f>VLOOKUP(Tabla2[[#This Row],[Empresa / Holding]],Tabla1[[#Headers],[#Data],[HOLDING]],1,0)</f>
        <v>SURA</v>
      </c>
      <c r="D114" s="130"/>
      <c r="E114" s="89">
        <v>2025</v>
      </c>
      <c r="F114" s="84"/>
      <c r="G114" s="90">
        <v>155000000</v>
      </c>
      <c r="H114" s="81">
        <v>0.12</v>
      </c>
      <c r="I114" s="91">
        <f>Tabla2[[#This Row],[Monto 1% u Aporte ]]*Tabla2[[#This Row],[Tasa Propuesta Administración OTIC]]</f>
        <v>18600000</v>
      </c>
      <c r="J114" s="2" t="s">
        <v>514</v>
      </c>
      <c r="K114" s="84" t="s">
        <v>198</v>
      </c>
      <c r="L114" s="84"/>
      <c r="M114" s="2" t="s">
        <v>29</v>
      </c>
      <c r="N114" s="92" t="s">
        <v>14</v>
      </c>
      <c r="O114" s="82">
        <v>0</v>
      </c>
      <c r="P114" s="82">
        <f>Tabla2[[#This Row],[Aporte Ingresado]]-Tabla2[[#This Row],[Monto 1% u Aporte ]]</f>
        <v>-155000000</v>
      </c>
      <c r="Q114" s="84" t="s">
        <v>568</v>
      </c>
      <c r="R114" s="96" t="s">
        <v>569</v>
      </c>
      <c r="S114" s="84" t="s">
        <v>570</v>
      </c>
      <c r="T114" s="85"/>
    </row>
    <row r="115" spans="1:20" x14ac:dyDescent="0.25">
      <c r="A115" s="45">
        <f t="shared" si="3"/>
        <v>114</v>
      </c>
      <c r="B115" s="88" t="s">
        <v>571</v>
      </c>
      <c r="C115" s="88" t="str">
        <f>VLOOKUP(Tabla2[[#This Row],[Empresa / Holding]],Tabla1[[#Headers],[#Data],[HOLDING]],1,0)</f>
        <v>Equifax</v>
      </c>
      <c r="D115" s="130"/>
      <c r="E115" s="89">
        <v>2025</v>
      </c>
      <c r="F115" s="84"/>
      <c r="G115" s="90">
        <v>105000000</v>
      </c>
      <c r="H115" s="81">
        <v>0.05</v>
      </c>
      <c r="I115" s="91">
        <f>Tabla2[[#This Row],[Monto 1% u Aporte ]]*Tabla2[[#This Row],[Tasa Propuesta Administración OTIC]]</f>
        <v>5250000</v>
      </c>
      <c r="J115" s="2" t="s">
        <v>164</v>
      </c>
      <c r="K115" s="84" t="s">
        <v>175</v>
      </c>
      <c r="L115" s="84"/>
      <c r="M115" s="2" t="s">
        <v>29</v>
      </c>
      <c r="N115" s="92" t="s">
        <v>14</v>
      </c>
      <c r="O115" s="82">
        <v>0</v>
      </c>
      <c r="P115" s="82">
        <f>Tabla2[[#This Row],[Aporte Ingresado]]-Tabla2[[#This Row],[Monto 1% u Aporte ]]</f>
        <v>-105000000</v>
      </c>
      <c r="Q115" s="84" t="s">
        <v>572</v>
      </c>
      <c r="R115" s="135" t="s">
        <v>573</v>
      </c>
      <c r="S115" s="84"/>
      <c r="T115" s="85"/>
    </row>
    <row r="116" spans="1:20" x14ac:dyDescent="0.25">
      <c r="A116" s="45">
        <f t="shared" si="3"/>
        <v>115</v>
      </c>
      <c r="B116" s="88" t="s">
        <v>555</v>
      </c>
      <c r="C116" s="88" t="str">
        <f>VLOOKUP(Tabla2[[#This Row],[Empresa / Holding]],Tabla1[[#Headers],[#Data],[HOLDING]],1,0)</f>
        <v>Decathlon</v>
      </c>
      <c r="D116" s="130"/>
      <c r="E116" s="89">
        <v>2025</v>
      </c>
      <c r="F116" s="84"/>
      <c r="G116" s="90">
        <v>84000000</v>
      </c>
      <c r="H116" s="81">
        <v>0.04</v>
      </c>
      <c r="I116" s="91">
        <f>Tabla2[[#This Row],[Monto 1% u Aporte ]]*Tabla2[[#This Row],[Tasa Propuesta Administración OTIC]]</f>
        <v>3360000</v>
      </c>
      <c r="J116" s="2" t="s">
        <v>164</v>
      </c>
      <c r="K116" s="84" t="s">
        <v>175</v>
      </c>
      <c r="L116" s="84"/>
      <c r="M116" s="2" t="s">
        <v>29</v>
      </c>
      <c r="N116" s="92" t="s">
        <v>14</v>
      </c>
      <c r="O116" s="82">
        <v>0</v>
      </c>
      <c r="P116" s="82">
        <f>Tabla2[[#This Row],[Aporte Ingresado]]-Tabla2[[#This Row],[Monto 1% u Aporte ]]</f>
        <v>-84000000</v>
      </c>
      <c r="Q116" s="84" t="s">
        <v>556</v>
      </c>
      <c r="R116" s="96" t="s">
        <v>557</v>
      </c>
      <c r="S116" s="84" t="s">
        <v>558</v>
      </c>
      <c r="T116" s="85"/>
    </row>
    <row r="117" spans="1:20" x14ac:dyDescent="0.25">
      <c r="A117" s="45">
        <f t="shared" si="3"/>
        <v>116</v>
      </c>
      <c r="B117" s="88" t="s">
        <v>574</v>
      </c>
      <c r="C117" s="88" t="str">
        <f>VLOOKUP(Tabla2[[#This Row],[Empresa / Holding]],Tabla1[[#Headers],[#Data],[HOLDING]],1,0)</f>
        <v>AeroSan</v>
      </c>
      <c r="D117" s="130"/>
      <c r="E117" s="89">
        <v>2025</v>
      </c>
      <c r="F117" s="84"/>
      <c r="G117" s="90">
        <v>73000000</v>
      </c>
      <c r="H117" s="81">
        <v>0.04</v>
      </c>
      <c r="I117" s="91">
        <f>Tabla2[[#This Row],[Monto 1% u Aporte ]]*Tabla2[[#This Row],[Tasa Propuesta Administración OTIC]]</f>
        <v>2920000</v>
      </c>
      <c r="J117" s="2" t="s">
        <v>164</v>
      </c>
      <c r="K117" s="84" t="s">
        <v>575</v>
      </c>
      <c r="L117" s="84"/>
      <c r="M117" s="2" t="s">
        <v>29</v>
      </c>
      <c r="N117" s="92" t="s">
        <v>14</v>
      </c>
      <c r="O117" s="82">
        <v>0</v>
      </c>
      <c r="P117" s="82">
        <f>Tabla2[[#This Row],[Aporte Ingresado]]-Tabla2[[#This Row],[Monto 1% u Aporte ]]</f>
        <v>-73000000</v>
      </c>
      <c r="Q117" s="83" t="s">
        <v>954</v>
      </c>
      <c r="R117" s="172" t="s">
        <v>953</v>
      </c>
      <c r="S117" s="84" t="s">
        <v>576</v>
      </c>
      <c r="T117" s="85"/>
    </row>
    <row r="118" spans="1:20" x14ac:dyDescent="0.25">
      <c r="A118" s="45">
        <f t="shared" si="3"/>
        <v>117</v>
      </c>
      <c r="B118" s="88" t="s">
        <v>559</v>
      </c>
      <c r="C118" s="88" t="str">
        <f>VLOOKUP(Tabla2[[#This Row],[Empresa / Holding]],Tabla1[[#Headers],[#Data],[HOLDING]],1,0)</f>
        <v xml:space="preserve">Tanner </v>
      </c>
      <c r="D118" s="130"/>
      <c r="E118" s="89">
        <v>2025</v>
      </c>
      <c r="F118" s="84" t="s">
        <v>156</v>
      </c>
      <c r="G118" s="90">
        <v>70000000</v>
      </c>
      <c r="H118" s="81">
        <v>0.06</v>
      </c>
      <c r="I118" s="91">
        <f>Tabla2[[#This Row],[Monto 1% u Aporte ]]*Tabla2[[#This Row],[Tasa Propuesta Administración OTIC]]</f>
        <v>4200000</v>
      </c>
      <c r="J118" s="2" t="s">
        <v>514</v>
      </c>
      <c r="K118" s="84" t="s">
        <v>175</v>
      </c>
      <c r="L118" s="84"/>
      <c r="M118" s="2" t="s">
        <v>29</v>
      </c>
      <c r="N118" s="92" t="s">
        <v>14</v>
      </c>
      <c r="O118" s="82">
        <v>0</v>
      </c>
      <c r="P118" s="82">
        <f>Tabla2[[#This Row],[Aporte Ingresado]]-Tabla2[[#This Row],[Monto 1% u Aporte ]]</f>
        <v>-70000000</v>
      </c>
      <c r="Q118" s="84" t="s">
        <v>560</v>
      </c>
      <c r="R118" s="96" t="s">
        <v>561</v>
      </c>
      <c r="S118" s="84" t="s">
        <v>562</v>
      </c>
      <c r="T118" s="85"/>
    </row>
    <row r="119" spans="1:20" x14ac:dyDescent="0.25">
      <c r="A119" s="45">
        <f t="shared" si="3"/>
        <v>118</v>
      </c>
      <c r="B119" s="88" t="s">
        <v>584</v>
      </c>
      <c r="C119" s="88" t="str">
        <f>VLOOKUP(Tabla2[[#This Row],[Empresa / Holding]],Tabla1[[#Headers],[#Data],[HOLDING]],1,0)</f>
        <v>SIMPLI</v>
      </c>
      <c r="D119" s="130"/>
      <c r="E119" s="89">
        <v>2025</v>
      </c>
      <c r="F119" s="84" t="s">
        <v>585</v>
      </c>
      <c r="G119" s="90">
        <v>24000000</v>
      </c>
      <c r="H119" s="81">
        <v>0.06</v>
      </c>
      <c r="I119" s="91">
        <f>Tabla2[[#This Row],[Monto 1% u Aporte ]]*Tabla2[[#This Row],[Tasa Propuesta Administración OTIC]]</f>
        <v>1440000</v>
      </c>
      <c r="J119" s="2" t="s">
        <v>221</v>
      </c>
      <c r="K119" s="84" t="s">
        <v>171</v>
      </c>
      <c r="L119" s="84"/>
      <c r="M119" s="2" t="s">
        <v>29</v>
      </c>
      <c r="N119" s="92" t="s">
        <v>14</v>
      </c>
      <c r="O119" s="82">
        <v>0</v>
      </c>
      <c r="P119" s="82">
        <f>Tabla2[[#This Row],[Aporte Ingresado]]-Tabla2[[#This Row],[Monto 1% u Aporte ]]</f>
        <v>-24000000</v>
      </c>
      <c r="Q119" s="82" t="s">
        <v>586</v>
      </c>
      <c r="R119" s="93" t="s">
        <v>587</v>
      </c>
      <c r="S119" s="84" t="s">
        <v>588</v>
      </c>
      <c r="T119" s="85">
        <v>45978</v>
      </c>
    </row>
    <row r="120" spans="1:20" x14ac:dyDescent="0.25">
      <c r="A120" s="45">
        <f t="shared" si="3"/>
        <v>119</v>
      </c>
      <c r="B120" s="88" t="s">
        <v>563</v>
      </c>
      <c r="C120" s="88" t="str">
        <f>VLOOKUP(Tabla2[[#This Row],[Empresa / Holding]],Tabla1[[#Headers],[#Data],[HOLDING]],1,0)</f>
        <v>Canal 13</v>
      </c>
      <c r="D120" s="130"/>
      <c r="E120" s="89">
        <v>2026</v>
      </c>
      <c r="F120" s="84"/>
      <c r="G120" s="90">
        <v>20000000</v>
      </c>
      <c r="H120" s="81">
        <v>0.08</v>
      </c>
      <c r="I120" s="91">
        <f>Tabla2[[#This Row],[Monto 1% u Aporte ]]*Tabla2[[#This Row],[Tasa Propuesta Administración OTIC]]</f>
        <v>1600000</v>
      </c>
      <c r="J120" s="2" t="s">
        <v>221</v>
      </c>
      <c r="K120" s="84" t="s">
        <v>207</v>
      </c>
      <c r="L120" s="84"/>
      <c r="M120" s="2" t="s">
        <v>29</v>
      </c>
      <c r="N120" s="92" t="s">
        <v>14</v>
      </c>
      <c r="O120" s="82">
        <v>0</v>
      </c>
      <c r="P120" s="82">
        <f>Tabla2[[#This Row],[Aporte Ingresado]]-Tabla2[[#This Row],[Monto 1% u Aporte ]]</f>
        <v>-20000000</v>
      </c>
      <c r="Q120" s="84" t="s">
        <v>564</v>
      </c>
      <c r="R120" s="96" t="s">
        <v>565</v>
      </c>
      <c r="S120" s="84" t="s">
        <v>566</v>
      </c>
      <c r="T120" s="85"/>
    </row>
    <row r="121" spans="1:20" x14ac:dyDescent="0.25">
      <c r="A121" s="45">
        <f t="shared" si="3"/>
        <v>120</v>
      </c>
      <c r="B121" s="88" t="s">
        <v>577</v>
      </c>
      <c r="C121" s="88" t="str">
        <f>VLOOKUP(Tabla2[[#This Row],[Empresa / Holding]],Tabla1[[#Headers],[#Data],[HOLDING]],1,0)</f>
        <v>ZERVIZ</v>
      </c>
      <c r="D121" s="130"/>
      <c r="E121" s="89">
        <v>2025</v>
      </c>
      <c r="F121" s="84"/>
      <c r="G121" s="90">
        <v>18000000</v>
      </c>
      <c r="H121" s="81">
        <v>0.09</v>
      </c>
      <c r="I121" s="91">
        <f>Tabla2[[#This Row],[Monto 1% u Aporte ]]*Tabla2[[#This Row],[Tasa Propuesta Administración OTIC]]</f>
        <v>1620000</v>
      </c>
      <c r="J121" s="2" t="s">
        <v>221</v>
      </c>
      <c r="K121" s="84" t="s">
        <v>543</v>
      </c>
      <c r="L121" s="84"/>
      <c r="M121" s="2" t="s">
        <v>29</v>
      </c>
      <c r="N121" s="92" t="s">
        <v>14</v>
      </c>
      <c r="O121" s="82">
        <v>0</v>
      </c>
      <c r="P121" s="82">
        <f>Tabla2[[#This Row],[Aporte Ingresado]]-Tabla2[[#This Row],[Monto 1% u Aporte ]]</f>
        <v>-18000000</v>
      </c>
      <c r="Q121" s="82" t="s">
        <v>578</v>
      </c>
      <c r="R121" s="84" t="s">
        <v>579</v>
      </c>
      <c r="S121" s="84" t="s">
        <v>580</v>
      </c>
      <c r="T121" s="85"/>
    </row>
    <row r="122" spans="1:20" x14ac:dyDescent="0.25">
      <c r="A122" s="45">
        <f t="shared" si="3"/>
        <v>121</v>
      </c>
      <c r="B122" s="88" t="s">
        <v>581</v>
      </c>
      <c r="C122" s="88" t="str">
        <f>VLOOKUP(Tabla2[[#This Row],[Empresa / Holding]],Tabla1[[#Headers],[#Data],[HOLDING]],1,0)</f>
        <v xml:space="preserve">NEBULAN </v>
      </c>
      <c r="D122" s="130"/>
      <c r="E122" s="89">
        <v>2025</v>
      </c>
      <c r="F122" s="84"/>
      <c r="G122" s="99">
        <v>15000000</v>
      </c>
      <c r="H122" s="81">
        <v>0.12</v>
      </c>
      <c r="I122" s="91">
        <f>Tabla2[[#This Row],[Monto 1% u Aporte ]]*Tabla2[[#This Row],[Tasa Propuesta Administración OTIC]]</f>
        <v>1800000</v>
      </c>
      <c r="J122" s="2" t="s">
        <v>514</v>
      </c>
      <c r="K122" s="84" t="s">
        <v>171</v>
      </c>
      <c r="L122" s="84"/>
      <c r="M122" s="2" t="s">
        <v>29</v>
      </c>
      <c r="N122" s="92" t="s">
        <v>14</v>
      </c>
      <c r="O122" s="82">
        <v>0</v>
      </c>
      <c r="P122" s="82">
        <f>Tabla2[[#This Row],[Aporte Ingresado]]-Tabla2[[#This Row],[Monto 1% u Aporte ]]</f>
        <v>-15000000</v>
      </c>
      <c r="Q122" s="82" t="s">
        <v>582</v>
      </c>
      <c r="R122" s="93" t="s">
        <v>583</v>
      </c>
      <c r="S122" s="84"/>
      <c r="T122" s="85"/>
    </row>
    <row r="123" spans="1:20" x14ac:dyDescent="0.25">
      <c r="A123" s="45">
        <f t="shared" si="3"/>
        <v>122</v>
      </c>
      <c r="B123" s="88" t="s">
        <v>551</v>
      </c>
      <c r="C123" s="88" t="str">
        <f>VLOOKUP(Tabla2[[#This Row],[Empresa / Holding]],Tabla1[[#Headers],[#Data],[HOLDING]],1,0)</f>
        <v>IDS (INDEPENDENT DRILLING SUPPLIES)</v>
      </c>
      <c r="D123" s="130"/>
      <c r="E123" s="46">
        <v>2025</v>
      </c>
      <c r="F123" s="84"/>
      <c r="G123" s="90">
        <v>11000000</v>
      </c>
      <c r="H123" s="81">
        <v>0.1</v>
      </c>
      <c r="I123" s="91">
        <f>Tabla2[[#This Row],[Monto 1% u Aporte ]]*Tabla2[[#This Row],[Tasa Propuesta Administración OTIC]]</f>
        <v>1100000</v>
      </c>
      <c r="J123" s="2" t="s">
        <v>164</v>
      </c>
      <c r="K123" s="84" t="s">
        <v>226</v>
      </c>
      <c r="L123" s="84"/>
      <c r="M123" s="2" t="s">
        <v>29</v>
      </c>
      <c r="N123" s="92" t="s">
        <v>14</v>
      </c>
      <c r="O123" s="82">
        <v>0</v>
      </c>
      <c r="P123" s="82">
        <f>Tabla2[[#This Row],[Aporte Ingresado]]-Tabla2[[#This Row],[Monto 1% u Aporte ]]</f>
        <v>-11000000</v>
      </c>
      <c r="Q123" s="84" t="s">
        <v>552</v>
      </c>
      <c r="R123" s="96" t="s">
        <v>553</v>
      </c>
      <c r="S123" s="84" t="s">
        <v>554</v>
      </c>
      <c r="T123" s="85">
        <v>45980</v>
      </c>
    </row>
    <row r="124" spans="1:20" x14ac:dyDescent="0.25">
      <c r="A124" s="45">
        <f t="shared" si="3"/>
        <v>123</v>
      </c>
      <c r="B124" s="88" t="s">
        <v>547</v>
      </c>
      <c r="C124" s="88" t="str">
        <f>VLOOKUP(Tabla2[[#This Row],[Empresa / Holding]],Tabla1[[#Headers],[#Data],[HOLDING]],1,0)</f>
        <v>SIIGSA</v>
      </c>
      <c r="D124" s="130"/>
      <c r="E124" s="89">
        <v>2025</v>
      </c>
      <c r="F124" s="84" t="s">
        <v>206</v>
      </c>
      <c r="G124" s="90">
        <v>7500000</v>
      </c>
      <c r="H124" s="81">
        <v>0.1</v>
      </c>
      <c r="I124" s="91">
        <f>Tabla2[[#This Row],[Monto 1% u Aporte ]]*Tabla2[[#This Row],[Tasa Propuesta Administración OTIC]]</f>
        <v>750000</v>
      </c>
      <c r="J124" s="2" t="s">
        <v>221</v>
      </c>
      <c r="K124" s="84" t="s">
        <v>221</v>
      </c>
      <c r="L124" s="84"/>
      <c r="M124" s="2" t="s">
        <v>343</v>
      </c>
      <c r="N124" s="92" t="s">
        <v>14</v>
      </c>
      <c r="O124" s="97">
        <v>0</v>
      </c>
      <c r="P124" s="82">
        <f>Tabla2[[#This Row],[Aporte Ingresado]]-Tabla2[[#This Row],[Monto 1% u Aporte ]]</f>
        <v>-7500000</v>
      </c>
      <c r="Q124" s="82" t="s">
        <v>548</v>
      </c>
      <c r="R124" s="82" t="s">
        <v>549</v>
      </c>
      <c r="S124" s="84" t="s">
        <v>550</v>
      </c>
      <c r="T124" s="85"/>
    </row>
    <row r="125" spans="1:20" x14ac:dyDescent="0.25">
      <c r="A125" s="45">
        <f t="shared" si="3"/>
        <v>124</v>
      </c>
      <c r="B125" s="88" t="s">
        <v>610</v>
      </c>
      <c r="C125" s="88" t="str">
        <f>VLOOKUP(Tabla2[[#This Row],[Empresa / Holding]],Tabla1[[#Headers],[#Data],[HOLDING]],1,0)</f>
        <v>ATCO Sabinco</v>
      </c>
      <c r="D125" s="130"/>
      <c r="E125" s="89">
        <v>2025</v>
      </c>
      <c r="F125" s="84" t="s">
        <v>206</v>
      </c>
      <c r="G125" s="90">
        <v>80000000</v>
      </c>
      <c r="H125" s="81">
        <v>0.05</v>
      </c>
      <c r="I125" s="91">
        <f>Tabla2[[#This Row],[Monto 1% u Aporte ]]*Tabla2[[#This Row],[Tasa Propuesta Administración OTIC]]</f>
        <v>4000000</v>
      </c>
      <c r="J125" s="2" t="s">
        <v>221</v>
      </c>
      <c r="K125" s="84" t="s">
        <v>171</v>
      </c>
      <c r="L125" s="84"/>
      <c r="M125" s="2" t="s">
        <v>343</v>
      </c>
      <c r="N125" s="92" t="s">
        <v>184</v>
      </c>
      <c r="O125" s="82">
        <v>0</v>
      </c>
      <c r="P125" s="82">
        <f>Tabla2[[#This Row],[Aporte Ingresado]]-Tabla2[[#This Row],[Monto 1% u Aporte ]]</f>
        <v>-80000000</v>
      </c>
      <c r="Q125" s="82" t="s">
        <v>611</v>
      </c>
      <c r="R125" s="82" t="s">
        <v>612</v>
      </c>
      <c r="S125" s="84" t="s">
        <v>613</v>
      </c>
      <c r="T125" s="85">
        <v>46002</v>
      </c>
    </row>
    <row r="126" spans="1:20" x14ac:dyDescent="0.25">
      <c r="A126" s="45">
        <f t="shared" si="3"/>
        <v>125</v>
      </c>
      <c r="B126" s="88" t="s">
        <v>597</v>
      </c>
      <c r="C126" s="88" t="str">
        <f>VLOOKUP(Tabla2[[#This Row],[Empresa / Holding]],Tabla1[[#Headers],[#Data],[HOLDING]],1,0)</f>
        <v>JUST BURGER</v>
      </c>
      <c r="D126" s="130"/>
      <c r="E126" s="89">
        <v>2025</v>
      </c>
      <c r="F126" s="84"/>
      <c r="G126" s="90">
        <v>0</v>
      </c>
      <c r="H126" s="81"/>
      <c r="I126" s="91">
        <f>Tabla2[[#This Row],[Monto 1% u Aporte ]]*Tabla2[[#This Row],[Tasa Propuesta Administración OTIC]]</f>
        <v>0</v>
      </c>
      <c r="J126" s="2" t="s">
        <v>164</v>
      </c>
      <c r="K126" s="84" t="s">
        <v>598</v>
      </c>
      <c r="L126" s="84"/>
      <c r="M126" s="2" t="s">
        <v>343</v>
      </c>
      <c r="N126" s="92" t="s">
        <v>184</v>
      </c>
      <c r="O126" s="82">
        <v>0</v>
      </c>
      <c r="P126" s="82">
        <f>Tabla2[[#This Row],[Aporte Ingresado]]-Tabla2[[#This Row],[Monto 1% u Aporte ]]</f>
        <v>0</v>
      </c>
      <c r="Q126" s="84" t="s">
        <v>599</v>
      </c>
      <c r="R126" s="96" t="s">
        <v>600</v>
      </c>
      <c r="S126" s="84" t="s">
        <v>601</v>
      </c>
      <c r="T126" s="85">
        <v>45783</v>
      </c>
    </row>
    <row r="127" spans="1:20" x14ac:dyDescent="0.25">
      <c r="A127" s="45">
        <f t="shared" si="3"/>
        <v>126</v>
      </c>
      <c r="B127" s="88" t="s">
        <v>593</v>
      </c>
      <c r="C127" s="88" t="str">
        <f>VLOOKUP(Tabla2[[#This Row],[Empresa / Holding]],Tabla1[[#Headers],[#Data],[HOLDING]],1,0)</f>
        <v>NIU SUSHI</v>
      </c>
      <c r="D127" s="130"/>
      <c r="E127" s="89">
        <v>2025</v>
      </c>
      <c r="F127" s="84"/>
      <c r="G127" s="90">
        <v>0</v>
      </c>
      <c r="H127" s="84"/>
      <c r="I127" s="91">
        <f>Tabla2[[#This Row],[Monto 1% u Aporte ]]*Tabla2[[#This Row],[Tasa Propuesta Administración OTIC]]</f>
        <v>0</v>
      </c>
      <c r="J127" s="2" t="s">
        <v>221</v>
      </c>
      <c r="K127" s="84" t="s">
        <v>212</v>
      </c>
      <c r="L127" s="84"/>
      <c r="M127" s="2" t="s">
        <v>343</v>
      </c>
      <c r="N127" s="92" t="s">
        <v>184</v>
      </c>
      <c r="O127" s="82">
        <v>0</v>
      </c>
      <c r="P127" s="82">
        <f>Tabla2[[#This Row],[Aporte Ingresado]]-Tabla2[[#This Row],[Monto 1% u Aporte ]]</f>
        <v>0</v>
      </c>
      <c r="Q127" s="84" t="s">
        <v>594</v>
      </c>
      <c r="R127" s="84" t="s">
        <v>595</v>
      </c>
      <c r="S127" s="84" t="s">
        <v>596</v>
      </c>
      <c r="T127" s="85">
        <v>45803</v>
      </c>
    </row>
    <row r="128" spans="1:20" x14ac:dyDescent="0.25">
      <c r="A128" s="45">
        <f t="shared" si="3"/>
        <v>127</v>
      </c>
      <c r="B128" s="88" t="s">
        <v>589</v>
      </c>
      <c r="C128" s="88" t="str">
        <f>VLOOKUP(Tabla2[[#This Row],[Empresa / Holding]],Tabla1[[#Headers],[#Data],[HOLDING]],1,0)</f>
        <v>TradeMedical</v>
      </c>
      <c r="D128" s="130"/>
      <c r="E128" s="89">
        <v>2025</v>
      </c>
      <c r="F128" s="84"/>
      <c r="G128" s="90">
        <v>0</v>
      </c>
      <c r="H128" s="81"/>
      <c r="I128" s="91">
        <f>Tabla2[[#This Row],[Monto 1% u Aporte ]]*Tabla2[[#This Row],[Tasa Propuesta Administración OTIC]]</f>
        <v>0</v>
      </c>
      <c r="J128" s="2" t="s">
        <v>164</v>
      </c>
      <c r="K128" s="84" t="s">
        <v>226</v>
      </c>
      <c r="L128" s="84"/>
      <c r="M128" s="2" t="s">
        <v>343</v>
      </c>
      <c r="N128" s="92" t="s">
        <v>184</v>
      </c>
      <c r="O128" s="50">
        <v>0</v>
      </c>
      <c r="P128" s="82">
        <f>Tabla2[[#This Row],[Aporte Ingresado]]-Tabla2[[#This Row],[Monto 1% u Aporte ]]</f>
        <v>0</v>
      </c>
      <c r="Q128" s="84" t="s">
        <v>590</v>
      </c>
      <c r="R128" s="84" t="s">
        <v>591</v>
      </c>
      <c r="S128" s="84" t="s">
        <v>592</v>
      </c>
      <c r="T128" s="85">
        <v>45803</v>
      </c>
    </row>
    <row r="129" spans="1:20" x14ac:dyDescent="0.25">
      <c r="A129" s="45">
        <f t="shared" si="3"/>
        <v>128</v>
      </c>
      <c r="B129" s="86" t="s">
        <v>606</v>
      </c>
      <c r="C129" s="88" t="str">
        <f>VLOOKUP(Tabla2[[#This Row],[Empresa / Holding]],Tabla1[[#Headers],[#Data],[HOLDING]],1,0)</f>
        <v>AGROSUPER</v>
      </c>
      <c r="D129" s="130"/>
      <c r="E129" s="89">
        <v>2025</v>
      </c>
      <c r="F129" s="2"/>
      <c r="G129" s="95">
        <v>0</v>
      </c>
      <c r="H129" s="48"/>
      <c r="I129" s="49">
        <f>Tabla2[[#This Row],[Monto 1% u Aporte ]]*Tabla2[[#This Row],[Tasa Propuesta Administración OTIC]]</f>
        <v>0</v>
      </c>
      <c r="J129" s="2" t="s">
        <v>164</v>
      </c>
      <c r="K129" s="2" t="s">
        <v>226</v>
      </c>
      <c r="L129" s="2"/>
      <c r="M129" s="2" t="s">
        <v>343</v>
      </c>
      <c r="N129" s="92" t="s">
        <v>184</v>
      </c>
      <c r="O129" s="50">
        <v>0</v>
      </c>
      <c r="P129" s="82">
        <f>Tabla2[[#This Row],[Aporte Ingresado]]-Tabla2[[#This Row],[Monto 1% u Aporte ]]</f>
        <v>0</v>
      </c>
      <c r="Q129" s="2" t="s">
        <v>607</v>
      </c>
      <c r="R129" s="53" t="s">
        <v>608</v>
      </c>
      <c r="S129" s="2" t="s">
        <v>609</v>
      </c>
      <c r="T129" s="51">
        <v>45862</v>
      </c>
    </row>
    <row r="130" spans="1:20" x14ac:dyDescent="0.25">
      <c r="A130" s="45">
        <f t="shared" si="3"/>
        <v>129</v>
      </c>
      <c r="B130" s="88" t="s">
        <v>602</v>
      </c>
      <c r="C130" s="88" t="str">
        <f>VLOOKUP(Tabla2[[#This Row],[Empresa / Holding]],Tabla1[[#Headers],[#Data],[HOLDING]],1,0)</f>
        <v>F&amp;L ingeniería</v>
      </c>
      <c r="D130" s="130"/>
      <c r="E130" s="89">
        <v>2025</v>
      </c>
      <c r="F130" s="84"/>
      <c r="G130" s="90">
        <v>0</v>
      </c>
      <c r="H130" s="81"/>
      <c r="I130" s="91">
        <f>Tabla2[[#This Row],[Monto 1% u Aporte ]]*Tabla2[[#This Row],[Tasa Propuesta Administración OTIC]]</f>
        <v>0</v>
      </c>
      <c r="J130" s="84" t="s">
        <v>164</v>
      </c>
      <c r="K130" s="84" t="s">
        <v>171</v>
      </c>
      <c r="L130" s="84"/>
      <c r="M130" s="2" t="s">
        <v>343</v>
      </c>
      <c r="N130" s="92" t="s">
        <v>184</v>
      </c>
      <c r="O130" s="82">
        <v>0</v>
      </c>
      <c r="P130" s="82">
        <f>Tabla2[[#This Row],[Aporte Ingresado]]-Tabla2[[#This Row],[Monto 1% u Aporte ]]</f>
        <v>0</v>
      </c>
      <c r="Q130" s="84" t="s">
        <v>603</v>
      </c>
      <c r="R130" s="96" t="s">
        <v>604</v>
      </c>
      <c r="S130" s="84" t="s">
        <v>605</v>
      </c>
      <c r="T130" s="85">
        <v>45813</v>
      </c>
    </row>
    <row r="131" spans="1:20" x14ac:dyDescent="0.25">
      <c r="A131" s="100"/>
      <c r="B131" s="79"/>
      <c r="C131" s="79"/>
      <c r="D131" s="79"/>
      <c r="E131" s="79"/>
      <c r="F131" s="84"/>
      <c r="G131" s="91">
        <f>SUBTOTAL(109,Tabla2[Monto 1% u Aporte ])</f>
        <v>3931297792</v>
      </c>
      <c r="H131" s="101">
        <f>SUBTOTAL(101,Tabla2[Tasa Propuesta Administración OTIC])</f>
        <v>7.8690140845070422E-2</v>
      </c>
      <c r="I131" s="91">
        <f>SUBTOTAL(9,I2:I86)</f>
        <v>130281594.23999999</v>
      </c>
      <c r="J131" s="84"/>
      <c r="K131" s="84"/>
      <c r="L131" s="84"/>
      <c r="M131" s="2"/>
      <c r="N131" s="92"/>
      <c r="O131" s="91">
        <f>SUBTOTAL(109,Tabla2[Aporte Ingresado])</f>
        <v>0</v>
      </c>
      <c r="P131" s="91"/>
      <c r="Q131" s="91"/>
      <c r="R131" s="91"/>
      <c r="S131" s="84"/>
      <c r="T131" s="94"/>
    </row>
    <row r="134" spans="1:20" x14ac:dyDescent="0.25">
      <c r="O134" s="105">
        <f>Tabla2[[#Totals],[Aporte Ingresado]]+O136</f>
        <v>69542000</v>
      </c>
    </row>
    <row r="135" spans="1:20" x14ac:dyDescent="0.25">
      <c r="P135" s="105">
        <f>Tabla2[[#Totals],[Aporte Ingresado]]-248347186</f>
        <v>-248347186</v>
      </c>
    </row>
    <row r="136" spans="1:20" x14ac:dyDescent="0.25">
      <c r="O136" s="106">
        <v>69542000</v>
      </c>
    </row>
    <row r="139" spans="1:20" x14ac:dyDescent="0.25">
      <c r="O139" s="105">
        <f>Tabla2[[#Totals],[Aporte Ingresado]]-[1]Hoja6!H96</f>
        <v>-206915222</v>
      </c>
    </row>
    <row r="141" spans="1:20" x14ac:dyDescent="0.25">
      <c r="B141" s="5"/>
      <c r="C141" s="5"/>
      <c r="D141" s="5"/>
    </row>
  </sheetData>
  <conditionalFormatting sqref="A2:T3 B4:T47 A4:A130 C48:T48 B49:T99 B100:P100 B101:N103 O101:O127 P104:P127 O129:P130">
    <cfRule type="cellIs" dxfId="77" priority="5" operator="lessThan">
      <formula>0</formula>
    </cfRule>
  </conditionalFormatting>
  <conditionalFormatting sqref="B48">
    <cfRule type="cellIs" dxfId="76" priority="1" operator="lessThan">
      <formula>0</formula>
    </cfRule>
  </conditionalFormatting>
  <conditionalFormatting sqref="E123">
    <cfRule type="cellIs" dxfId="75" priority="3" operator="lessThan">
      <formula>0</formula>
    </cfRule>
  </conditionalFormatting>
  <conditionalFormatting sqref="J102:J130">
    <cfRule type="cellIs" dxfId="74" priority="9" operator="lessThan">
      <formula>0</formula>
    </cfRule>
  </conditionalFormatting>
  <conditionalFormatting sqref="K102:L130">
    <cfRule type="cellIs" dxfId="73" priority="8" operator="lessThan">
      <formula>0</formula>
    </cfRule>
  </conditionalFormatting>
  <conditionalFormatting sqref="M102:M130">
    <cfRule type="cellIs" dxfId="72" priority="7" operator="lessThan">
      <formula>0</formula>
    </cfRule>
  </conditionalFormatting>
  <conditionalFormatting sqref="N102">
    <cfRule type="cellIs" dxfId="66" priority="6" operator="lessThan">
      <formula>0</formula>
    </cfRule>
  </conditionalFormatting>
  <conditionalFormatting sqref="N104:N130">
    <cfRule type="cellIs" dxfId="65" priority="4" operator="lessThan">
      <formula>0</formula>
    </cfRule>
  </conditionalFormatting>
  <conditionalFormatting sqref="P101:T103 H104:N130">
    <cfRule type="cellIs" dxfId="64" priority="10" operator="lessThan">
      <formula>0</formula>
    </cfRule>
  </conditionalFormatting>
  <conditionalFormatting sqref="X6">
    <cfRule type="expression" dxfId="60" priority="14">
      <formula>$N7="Adherida al OTIC"</formula>
    </cfRule>
  </conditionalFormatting>
  <dataValidations count="1">
    <dataValidation type="list" allowBlank="1" showInputMessage="1" showErrorMessage="1" sqref="N2:N13 N20:N130" xr:uid="{B3C582A6-0B29-43CE-88CA-DBDB0D428316}">
      <formula1>$X$2:$X$6</formula1>
    </dataValidation>
  </dataValidations>
  <hyperlinks>
    <hyperlink ref="R118" r:id="rId1" xr:uid="{49B5B3C5-71A8-46A3-8756-AC4F9977F06F}"/>
    <hyperlink ref="R45" r:id="rId2" xr:uid="{FCD16400-5574-47CC-93BA-ED0E6866E6D2}"/>
    <hyperlink ref="R27" r:id="rId3" xr:uid="{0B248620-DA1C-4633-AD01-84164050503B}"/>
    <hyperlink ref="R120" r:id="rId4" xr:uid="{5D47FC69-55AE-4E18-BB54-1C16DD11F3A6}"/>
    <hyperlink ref="R28" r:id="rId5" xr:uid="{87CEC028-53A2-4E78-B17C-C5C5C1BA0961}"/>
    <hyperlink ref="R72" r:id="rId6" xr:uid="{D5C51D4C-C1B4-4715-958C-15346406B2EA}"/>
    <hyperlink ref="R114" r:id="rId7" xr:uid="{474B4AE2-012B-408B-AF65-ECA017C0F4E0}"/>
    <hyperlink ref="R94" r:id="rId8" display="romina_antilef@wvi.org" xr:uid="{51936BE3-78D7-40F0-8BEF-821A7EBF044F}"/>
    <hyperlink ref="R38" r:id="rId9" xr:uid="{65C0C229-E9B4-47F0-85DC-A18B4DD0ED3D}"/>
    <hyperlink ref="R64" r:id="rId10" xr:uid="{A45D0ACE-6561-482A-922F-A7A249E5E26A}"/>
    <hyperlink ref="R54" r:id="rId11" xr:uid="{23094807-4128-4ECF-9C13-FDC11E0FF8F9}"/>
    <hyperlink ref="R31" r:id="rId12" xr:uid="{14DA811C-6591-48DD-84A1-AC2FDFFAAECA}"/>
    <hyperlink ref="R73" r:id="rId13" xr:uid="{76953522-8B83-4B7C-8209-F121928D7C06}"/>
    <hyperlink ref="R67" r:id="rId14" xr:uid="{43E9314D-D40B-4832-BCB8-1232A5C82003}"/>
    <hyperlink ref="R74" r:id="rId15" xr:uid="{D4ED1BBA-78B5-4618-AA36-1F52ED5E52A0}"/>
    <hyperlink ref="R100" r:id="rId16" xr:uid="{DEBCE285-DF28-49A1-AC69-A94C796946B6}"/>
    <hyperlink ref="R117" r:id="rId17" xr:uid="{4D59639A-FBAE-4F7A-AA55-F228583068A4}"/>
    <hyperlink ref="R25" r:id="rId18" xr:uid="{5181D622-09EC-4C9F-853B-F1EFEF820A59}"/>
    <hyperlink ref="R20" r:id="rId19" xr:uid="{C73675F4-FBD2-4AD6-84F8-1337D105F28A}"/>
    <hyperlink ref="R63" r:id="rId20" xr:uid="{35AD54AC-F874-42EE-8D2B-0A5C3AADB45F}"/>
    <hyperlink ref="R105" r:id="rId21" xr:uid="{4702A304-9DA5-4688-A114-A7AA5F40FAB9}"/>
    <hyperlink ref="R95" r:id="rId22" xr:uid="{3657A020-623E-405D-9B74-4E3894A3F542}"/>
    <hyperlink ref="R90" r:id="rId23" xr:uid="{DE3D76B9-78C9-4561-8624-48CD6982A981}"/>
    <hyperlink ref="R115" r:id="rId24" xr:uid="{8091C1BF-2901-4C75-B8DC-FFE9BFDED0A1}"/>
    <hyperlink ref="R126" r:id="rId25" xr:uid="{48C3444E-B6FF-4198-8B09-76EDC3D73BC1}"/>
    <hyperlink ref="R91" r:id="rId26" xr:uid="{E41C5286-DE69-4180-91B4-ACE394F51416}"/>
    <hyperlink ref="R130" r:id="rId27" xr:uid="{C0B16EB4-07D7-4D54-869E-84AFCC93550B}"/>
    <hyperlink ref="R48" r:id="rId28" xr:uid="{F8F38BF0-6433-42B7-A639-279C5CC6D4A8}"/>
    <hyperlink ref="R43" r:id="rId29" xr:uid="{8CB4704A-1E5A-41BF-9F6A-D4EAB805B49A}"/>
    <hyperlink ref="R97" r:id="rId30" xr:uid="{6FA7A606-BBDC-49A8-B31D-BD42709B3FFC}"/>
    <hyperlink ref="R85" r:id="rId31" xr:uid="{32B29387-5505-455C-A4C9-DBD7B6E810B0}"/>
    <hyperlink ref="R52" r:id="rId32" xr:uid="{663DF5AD-97D8-4763-B9D4-21AA0BA6EBD3}"/>
    <hyperlink ref="Q32" r:id="rId33" display="fmoraga@cathpro.cl" xr:uid="{01C4B9CA-C3DB-473C-B4C0-004E65D99DAC}"/>
    <hyperlink ref="R23" r:id="rId34" xr:uid="{B22EF4BC-1CC1-4690-B5C8-A6C58C7DA154}"/>
    <hyperlink ref="R19" r:id="rId35" xr:uid="{59E8C9CB-001E-4128-ACBB-F1CAEEDF9C8A}"/>
    <hyperlink ref="R55" r:id="rId36" xr:uid="{D6FE4F00-6C50-4A4C-A461-997BF587A808}"/>
    <hyperlink ref="R29" r:id="rId37" xr:uid="{943DB746-E32B-4B32-8137-F3368EAD6B94}"/>
    <hyperlink ref="R122" r:id="rId38" xr:uid="{BCEC9023-C733-41CA-87AB-4A30B847B819}"/>
    <hyperlink ref="R71" r:id="rId39" xr:uid="{A5E32F19-C380-4727-BBC2-6B232342E60B}"/>
    <hyperlink ref="R80" r:id="rId40" xr:uid="{BD547C00-6AEF-4518-8C17-4F03C3A14260}"/>
    <hyperlink ref="R4" r:id="rId41" xr:uid="{D3F222D6-1677-49CA-8A15-B7EFE50AAEC1}"/>
    <hyperlink ref="R36" r:id="rId42" xr:uid="{90FDCB9B-D894-44DC-B988-2EB2DBD76DA0}"/>
    <hyperlink ref="R16" r:id="rId43" xr:uid="{5A8F1377-8B2F-4FC0-846C-884B1A6CDDDC}"/>
    <hyperlink ref="R84" r:id="rId44" xr:uid="{C43A677E-67BE-4EA2-A399-542D0AB3F761}"/>
    <hyperlink ref="R13" r:id="rId45" xr:uid="{437B623A-6E58-4816-89ED-FCB00DE33760}"/>
    <hyperlink ref="R81" r:id="rId46" display="Nicole.Nunez@AFPCapital.cl" xr:uid="{34310449-12B7-47FE-A9ED-8CCEAA396A30}"/>
    <hyperlink ref="R59" r:id="rId47" xr:uid="{9297CDB2-73AE-41B9-8CDE-71DA95448334}"/>
    <hyperlink ref="R30" r:id="rId48" xr:uid="{ED69E6BE-17F0-4302-95F4-78B59265B831}"/>
    <hyperlink ref="R116" r:id="rId49" xr:uid="{6B73393A-CA82-45B5-8875-C0D8419DBA52}"/>
    <hyperlink ref="R51" r:id="rId50" xr:uid="{1BDC74AE-0272-47B5-ABA6-12FAA842E15A}"/>
    <hyperlink ref="R78" r:id="rId51" xr:uid="{F550AD2E-A4D2-44AC-8F23-49A454E1A8C0}"/>
    <hyperlink ref="R98" r:id="rId52" xr:uid="{2ABE74A5-657B-4DD1-926E-0BF79FB8BB49}"/>
    <hyperlink ref="R104" r:id="rId53" xr:uid="{EEFEE799-F401-4258-B2FF-53C896AC9D83}"/>
  </hyperlinks>
  <pageMargins left="0.7" right="0.7" top="0.75" bottom="0.75" header="0.3" footer="0.3"/>
  <tableParts count="1">
    <tablePart r:id="rId5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" operator="containsText" id="{A27CBD23-161D-4D74-8A25-6643A18E6E66}">
            <xm:f>NOT(ISERROR(SEARCH($X$4,M1)))</xm:f>
            <xm:f>$X$4</xm:f>
            <x14:dxf>
              <fill>
                <patternFill>
                  <bgColor rgb="FFD3E4F0"/>
                </patternFill>
              </fill>
            </x14:dxf>
          </x14:cfRule>
          <x14:cfRule type="containsText" priority="17" operator="containsText" id="{FD9E03DE-3936-43EF-A9E5-03F81D503A37}">
            <xm:f>NOT(ISERROR(SEARCH($X$3,M1)))</xm:f>
            <xm:f>$X$3</xm:f>
            <x14:dxf>
              <fill>
                <patternFill>
                  <bgColor rgb="FFF5C6C6"/>
                </patternFill>
              </fill>
            </x14:dxf>
          </x14:cfRule>
          <x14:cfRule type="containsText" priority="18" operator="containsText" id="{6EA16962-F63A-4A9E-AA62-9B9116C018E6}">
            <xm:f>NOT(ISERROR(SEARCH($X$6,M1)))</xm:f>
            <xm:f>$X$6</xm:f>
            <x14:dxf>
              <fill>
                <patternFill>
                  <bgColor rgb="FFFFF4B3"/>
                </patternFill>
              </fill>
            </x14:dxf>
          </x14:cfRule>
          <x14:cfRule type="containsText" priority="19" operator="containsText" id="{3806A69C-17C6-4D42-8503-51DCD167D201}">
            <xm:f>NOT(ISERROR(SEARCH($X$5,M1)))</xm:f>
            <xm:f>$X$5</xm:f>
            <x14:dxf>
              <fill>
                <patternFill>
                  <bgColor rgb="FFFAD8B4"/>
                </patternFill>
              </fill>
            </x14:dxf>
          </x14:cfRule>
          <x14:cfRule type="containsText" priority="20" operator="containsText" id="{82F0ADC9-6460-4760-A143-FD59D2F08DA6}">
            <xm:f>NOT(ISERROR(SEARCH($X$2,M1)))</xm:f>
            <xm:f>$X$2</xm:f>
            <x14:dxf>
              <fill>
                <patternFill>
                  <bgColor rgb="FFC7E8C8"/>
                </patternFill>
              </fill>
            </x14:dxf>
          </x14:cfRule>
          <xm:sqref>N1:N131 M132:M1048576</xm:sqref>
        </x14:conditionalFormatting>
        <x14:conditionalFormatting xmlns:xm="http://schemas.microsoft.com/office/excel/2006/main">
          <x14:cfRule type="containsText" priority="11" operator="containsText" id="{6780902F-FD29-411E-8726-2DF7F1FD4A1C}">
            <xm:f>NOT(ISERROR(SEARCH($X$3,X6)))</xm:f>
            <xm:f>$X$3</xm:f>
            <x14:dxf>
              <fill>
                <patternFill>
                  <bgColor rgb="FFF5C6C6"/>
                </patternFill>
              </fill>
            </x14:dxf>
          </x14:cfRule>
          <x14:cfRule type="containsText" priority="12" operator="containsText" id="{512B59B2-A1DA-4332-B2A5-B08F9E169767}">
            <xm:f>NOT(ISERROR(SEARCH($X$5,X6)))</xm:f>
            <xm:f>$X$5</xm:f>
            <x14:dxf>
              <fill>
                <patternFill>
                  <bgColor rgb="FFFAD8B4"/>
                </patternFill>
              </fill>
            </x14:dxf>
          </x14:cfRule>
          <x14:cfRule type="containsText" priority="13" operator="containsText" id="{643F419B-F2A5-4C6B-B957-250343D3A460}">
            <xm:f>NOT(ISERROR(SEARCH($X$4,X6)))</xm:f>
            <xm:f>$X$4</xm:f>
            <x14:dxf>
              <fill>
                <patternFill>
                  <bgColor rgb="FFD3E4F0"/>
                </patternFill>
              </fill>
            </x14:dxf>
          </x14:cfRule>
          <x14:cfRule type="containsText" priority="15" operator="containsText" id="{3B08FDEE-0CA8-4204-889D-5F10B3B7C37D}">
            <xm:f>NOT(ISERROR(SEARCH($X$2,X6)))</xm:f>
            <xm:f>$X$2</xm:f>
            <x14:dxf>
              <fill>
                <patternFill>
                  <bgColor rgb="FFC7E8C8"/>
                </patternFill>
              </fill>
            </x14:dxf>
          </x14:cfRule>
          <xm:sqref>X6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00C3-8A0E-4363-9DB0-6AEF69384FFF}">
  <dimension ref="A2:Z184"/>
  <sheetViews>
    <sheetView showGridLines="0" tabSelected="1" topLeftCell="F1" zoomScale="98" zoomScaleNormal="98" workbookViewId="0">
      <selection activeCell="K32" sqref="K32"/>
    </sheetView>
  </sheetViews>
  <sheetFormatPr baseColWidth="10" defaultColWidth="11.42578125" defaultRowHeight="12" x14ac:dyDescent="0.2"/>
  <cols>
    <col min="1" max="1" width="5.28515625" style="37" customWidth="1"/>
    <col min="2" max="2" width="38.85546875" style="37" customWidth="1"/>
    <col min="3" max="3" width="16.85546875" style="37" customWidth="1"/>
    <col min="4" max="4" width="10.85546875" style="37" customWidth="1"/>
    <col min="5" max="5" width="48.5703125" style="21" customWidth="1"/>
    <col min="6" max="6" width="17.5703125" style="37" customWidth="1"/>
    <col min="7" max="7" width="27.28515625" style="21" customWidth="1"/>
    <col min="8" max="8" width="9.42578125" style="37" customWidth="1"/>
    <col min="9" max="9" width="9.42578125" style="21" customWidth="1"/>
    <col min="10" max="10" width="19.85546875" style="21" customWidth="1"/>
    <col min="11" max="11" width="22.5703125" style="37" customWidth="1"/>
    <col min="12" max="12" width="16.42578125" style="21" customWidth="1"/>
    <col min="13" max="13" width="13.28515625" style="21" customWidth="1"/>
    <col min="14" max="14" width="9.42578125" style="37" customWidth="1"/>
    <col min="15" max="15" width="15.140625" style="21" customWidth="1"/>
    <col min="16" max="16" width="25" style="21" customWidth="1"/>
    <col min="17" max="17" width="18.42578125" style="37" customWidth="1"/>
    <col min="18" max="18" width="15.140625" style="21" bestFit="1" customWidth="1"/>
    <col min="19" max="19" width="16.85546875" style="21" bestFit="1" customWidth="1"/>
    <col min="20" max="20" width="13.140625" style="37" bestFit="1" customWidth="1"/>
    <col min="21" max="21" width="34.140625" style="21" bestFit="1" customWidth="1"/>
    <col min="22" max="22" width="55" style="21" bestFit="1" customWidth="1"/>
    <col min="23" max="23" width="36.28515625" style="21" bestFit="1" customWidth="1"/>
    <col min="24" max="24" width="27.28515625" style="21" customWidth="1"/>
    <col min="25" max="25" width="54.140625" style="21" bestFit="1" customWidth="1"/>
    <col min="26" max="16384" width="11.42578125" style="21"/>
  </cols>
  <sheetData>
    <row r="2" spans="1:26" ht="24" x14ac:dyDescent="0.2">
      <c r="A2" s="15" t="s">
        <v>0</v>
      </c>
      <c r="B2" s="16" t="s">
        <v>78</v>
      </c>
      <c r="C2" s="173" t="s">
        <v>870</v>
      </c>
      <c r="D2" s="16" t="s">
        <v>77</v>
      </c>
      <c r="E2" s="16" t="s">
        <v>84</v>
      </c>
      <c r="F2" s="16" t="s">
        <v>703</v>
      </c>
      <c r="G2" s="16" t="s">
        <v>16</v>
      </c>
      <c r="H2" s="16" t="s">
        <v>704</v>
      </c>
      <c r="I2" s="16" t="s">
        <v>21</v>
      </c>
      <c r="J2" s="17" t="s">
        <v>1</v>
      </c>
      <c r="K2" s="16" t="s">
        <v>2</v>
      </c>
      <c r="L2" s="16" t="s">
        <v>3</v>
      </c>
      <c r="M2" s="16" t="s">
        <v>4</v>
      </c>
      <c r="N2" s="16" t="s">
        <v>35</v>
      </c>
      <c r="O2" s="16" t="s">
        <v>5</v>
      </c>
      <c r="P2" s="128" t="s">
        <v>6</v>
      </c>
      <c r="Q2" s="16" t="s">
        <v>7</v>
      </c>
      <c r="R2" s="18" t="s">
        <v>8</v>
      </c>
      <c r="S2" s="19" t="s">
        <v>47</v>
      </c>
      <c r="T2" s="128" t="s">
        <v>9</v>
      </c>
      <c r="U2" s="18" t="s">
        <v>968</v>
      </c>
      <c r="V2" s="18" t="s">
        <v>10</v>
      </c>
      <c r="W2" s="18" t="s">
        <v>767</v>
      </c>
      <c r="X2" s="18" t="s">
        <v>1078</v>
      </c>
      <c r="Y2" s="18" t="s">
        <v>11</v>
      </c>
      <c r="Z2" s="20" t="s">
        <v>104</v>
      </c>
    </row>
    <row r="3" spans="1:26" hidden="1" x14ac:dyDescent="0.2">
      <c r="A3" s="22">
        <v>1</v>
      </c>
      <c r="B3" s="23" t="s">
        <v>523</v>
      </c>
      <c r="C3" s="24" t="s">
        <v>964</v>
      </c>
      <c r="D3" s="24" t="s">
        <v>672</v>
      </c>
      <c r="E3" s="25" t="s">
        <v>673</v>
      </c>
      <c r="F3" s="25"/>
      <c r="G3" s="26" t="s">
        <v>93</v>
      </c>
      <c r="H3" s="24" t="s">
        <v>20</v>
      </c>
      <c r="I3" s="26" t="s">
        <v>23</v>
      </c>
      <c r="J3" s="27">
        <v>300000000</v>
      </c>
      <c r="K3" s="28">
        <v>0.05</v>
      </c>
      <c r="L3" s="27">
        <f>Tabla1[[#This Row],[Monto 1% u Aporte ]]*Tabla1[[#This Row],[Tasa Propuesta Administración OTIC]]</f>
        <v>15000000</v>
      </c>
      <c r="M3" s="26" t="s">
        <v>44</v>
      </c>
      <c r="N3" s="26" t="s">
        <v>136</v>
      </c>
      <c r="O3" s="26" t="s">
        <v>32</v>
      </c>
      <c r="P3" s="11" t="s">
        <v>13</v>
      </c>
      <c r="Q3" s="27">
        <v>3745063</v>
      </c>
      <c r="R3" s="27">
        <f>Tabla1[[#This Row],[Aporte Ingresado]]-Tabla1[[#This Row],[Monto 1% u Aporte ]]</f>
        <v>-296254937</v>
      </c>
      <c r="S3" s="27" t="s">
        <v>29</v>
      </c>
      <c r="T3" s="175" t="s">
        <v>969</v>
      </c>
      <c r="U3" s="26" t="s">
        <v>617</v>
      </c>
      <c r="V3" s="29" t="s">
        <v>616</v>
      </c>
      <c r="W3" s="29"/>
      <c r="X3" s="29"/>
      <c r="Y3" s="26"/>
      <c r="Z3" s="30"/>
    </row>
    <row r="4" spans="1:26" hidden="1" x14ac:dyDescent="0.2">
      <c r="A4" s="22">
        <f t="shared" ref="A4:A29" si="0">A3+1</f>
        <v>2</v>
      </c>
      <c r="B4" s="23" t="s">
        <v>523</v>
      </c>
      <c r="C4" s="24" t="s">
        <v>964</v>
      </c>
      <c r="D4" s="24" t="s">
        <v>674</v>
      </c>
      <c r="E4" s="25" t="s">
        <v>675</v>
      </c>
      <c r="F4" s="25"/>
      <c r="G4" s="26" t="s">
        <v>93</v>
      </c>
      <c r="H4" s="24" t="s">
        <v>20</v>
      </c>
      <c r="I4" s="26" t="s">
        <v>23</v>
      </c>
      <c r="J4" s="27">
        <v>0</v>
      </c>
      <c r="K4" s="28">
        <v>0</v>
      </c>
      <c r="L4" s="27">
        <f>Tabla1[[#This Row],[Monto 1% u Aporte ]]*Tabla1[[#This Row],[Tasa Propuesta Administración OTIC]]</f>
        <v>0</v>
      </c>
      <c r="M4" s="26" t="s">
        <v>44</v>
      </c>
      <c r="N4" s="26" t="s">
        <v>136</v>
      </c>
      <c r="O4" s="26" t="s">
        <v>32</v>
      </c>
      <c r="P4" s="11" t="s">
        <v>13</v>
      </c>
      <c r="Q4" s="27">
        <v>1419818</v>
      </c>
      <c r="R4" s="27">
        <f>Tabla1[[#This Row],[Aporte Ingresado]]-Tabla1[[#This Row],[Monto 1% u Aporte ]]</f>
        <v>1419818</v>
      </c>
      <c r="S4" s="27" t="s">
        <v>29</v>
      </c>
      <c r="T4" s="24" t="s">
        <v>352</v>
      </c>
      <c r="U4" s="26" t="s">
        <v>352</v>
      </c>
      <c r="V4" s="29" t="s">
        <v>352</v>
      </c>
      <c r="W4" s="29"/>
      <c r="X4" s="29"/>
      <c r="Y4" s="26"/>
      <c r="Z4" s="30"/>
    </row>
    <row r="5" spans="1:26" ht="12" hidden="1" customHeight="1" x14ac:dyDescent="0.2">
      <c r="A5" s="22">
        <f t="shared" si="0"/>
        <v>3</v>
      </c>
      <c r="B5" s="23" t="s">
        <v>523</v>
      </c>
      <c r="C5" s="24" t="s">
        <v>964</v>
      </c>
      <c r="D5" s="24" t="s">
        <v>676</v>
      </c>
      <c r="E5" s="25" t="s">
        <v>677</v>
      </c>
      <c r="F5" s="25"/>
      <c r="G5" s="26" t="s">
        <v>93</v>
      </c>
      <c r="H5" s="24" t="s">
        <v>20</v>
      </c>
      <c r="I5" s="26" t="s">
        <v>23</v>
      </c>
      <c r="J5" s="27">
        <v>0</v>
      </c>
      <c r="K5" s="28">
        <v>0</v>
      </c>
      <c r="L5" s="27">
        <f>Tabla1[[#This Row],[Monto 1% u Aporte ]]*Tabla1[[#This Row],[Tasa Propuesta Administración OTIC]]</f>
        <v>0</v>
      </c>
      <c r="M5" s="26" t="s">
        <v>44</v>
      </c>
      <c r="N5" s="26" t="s">
        <v>136</v>
      </c>
      <c r="O5" s="26" t="s">
        <v>32</v>
      </c>
      <c r="P5" s="11" t="s">
        <v>13</v>
      </c>
      <c r="Q5" s="27">
        <v>113859329</v>
      </c>
      <c r="R5" s="27">
        <f>Tabla1[[#This Row],[Aporte Ingresado]]-Tabla1[[#This Row],[Monto 1% u Aporte ]]</f>
        <v>113859329</v>
      </c>
      <c r="S5" s="27" t="s">
        <v>29</v>
      </c>
      <c r="T5" s="24" t="s">
        <v>352</v>
      </c>
      <c r="U5" s="26" t="s">
        <v>352</v>
      </c>
      <c r="V5" s="29" t="s">
        <v>352</v>
      </c>
      <c r="W5" s="29"/>
      <c r="X5" s="29"/>
      <c r="Y5" s="26"/>
      <c r="Z5" s="30"/>
    </row>
    <row r="6" spans="1:26" hidden="1" x14ac:dyDescent="0.2">
      <c r="A6" s="22">
        <f t="shared" si="0"/>
        <v>4</v>
      </c>
      <c r="B6" s="23" t="s">
        <v>105</v>
      </c>
      <c r="C6" s="24" t="s">
        <v>964</v>
      </c>
      <c r="D6" s="24" t="s">
        <v>124</v>
      </c>
      <c r="E6" s="25" t="s">
        <v>125</v>
      </c>
      <c r="F6" s="25"/>
      <c r="G6" s="26" t="s">
        <v>111</v>
      </c>
      <c r="H6" s="24" t="s">
        <v>20</v>
      </c>
      <c r="I6" s="26" t="s">
        <v>23</v>
      </c>
      <c r="J6" s="27">
        <v>1600000</v>
      </c>
      <c r="K6" s="28">
        <v>0.1</v>
      </c>
      <c r="L6" s="27">
        <f>Tabla1[[#This Row],[Monto 1% u Aporte ]]*Tabla1[[#This Row],[Tasa Propuesta Administración OTIC]]</f>
        <v>160000</v>
      </c>
      <c r="M6" s="26" t="s">
        <v>68</v>
      </c>
      <c r="N6" s="26" t="s">
        <v>36</v>
      </c>
      <c r="O6" s="26" t="s">
        <v>33</v>
      </c>
      <c r="P6" s="11" t="s">
        <v>13</v>
      </c>
      <c r="Q6" s="27">
        <v>750000</v>
      </c>
      <c r="R6" s="27">
        <f>Tabla1[[#This Row],[Aporte Ingresado]]-Tabla1[[#This Row],[Monto 1% u Aporte ]]</f>
        <v>-850000</v>
      </c>
      <c r="S6" s="27" t="s">
        <v>29</v>
      </c>
      <c r="T6" s="175" t="s">
        <v>969</v>
      </c>
      <c r="U6" s="26" t="s">
        <v>107</v>
      </c>
      <c r="V6" s="29" t="s">
        <v>106</v>
      </c>
      <c r="W6" s="29"/>
      <c r="X6" s="29"/>
      <c r="Y6" s="26"/>
      <c r="Z6" s="30">
        <v>46042</v>
      </c>
    </row>
    <row r="7" spans="1:26" hidden="1" x14ac:dyDescent="0.2">
      <c r="A7" s="22">
        <f t="shared" si="0"/>
        <v>5</v>
      </c>
      <c r="B7" s="23" t="s">
        <v>877</v>
      </c>
      <c r="C7" s="24" t="s">
        <v>964</v>
      </c>
      <c r="D7" s="24" t="s">
        <v>865</v>
      </c>
      <c r="E7" s="25" t="s">
        <v>828</v>
      </c>
      <c r="F7" s="22"/>
      <c r="G7" s="26" t="s">
        <v>12</v>
      </c>
      <c r="H7" s="24" t="s">
        <v>20</v>
      </c>
      <c r="I7" s="26" t="s">
        <v>25</v>
      </c>
      <c r="J7" s="27">
        <v>0</v>
      </c>
      <c r="K7" s="28">
        <v>0</v>
      </c>
      <c r="L7" s="27">
        <f>Tabla1[[#This Row],[Monto 1% u Aporte ]]*Tabla1[[#This Row],[Tasa Propuesta Administración OTIC]]</f>
        <v>0</v>
      </c>
      <c r="M7" s="26" t="s">
        <v>44</v>
      </c>
      <c r="N7" s="26" t="s">
        <v>29</v>
      </c>
      <c r="O7" s="26" t="s">
        <v>31</v>
      </c>
      <c r="P7" s="11" t="s">
        <v>13</v>
      </c>
      <c r="Q7" s="27">
        <v>500000</v>
      </c>
      <c r="R7" s="27">
        <f>Tabla1[[#This Row],[Aporte Ingresado]]-Tabla1[[#This Row],[Monto 1% u Aporte ]]</f>
        <v>500000</v>
      </c>
      <c r="S7" s="27" t="s">
        <v>29</v>
      </c>
      <c r="T7" s="24" t="s">
        <v>352</v>
      </c>
      <c r="U7" s="26" t="s">
        <v>352</v>
      </c>
      <c r="V7" s="29" t="s">
        <v>352</v>
      </c>
      <c r="W7" s="29"/>
      <c r="X7" s="29"/>
      <c r="Y7" s="26"/>
      <c r="Z7" s="30"/>
    </row>
    <row r="8" spans="1:26" hidden="1" x14ac:dyDescent="0.2">
      <c r="A8" s="22">
        <f t="shared" si="0"/>
        <v>6</v>
      </c>
      <c r="B8" s="23" t="s">
        <v>713</v>
      </c>
      <c r="C8" s="24" t="s">
        <v>964</v>
      </c>
      <c r="D8" s="24" t="s">
        <v>717</v>
      </c>
      <c r="E8" s="25" t="s">
        <v>832</v>
      </c>
      <c r="F8" s="107"/>
      <c r="G8" s="26" t="s">
        <v>88</v>
      </c>
      <c r="H8" s="24" t="s">
        <v>20</v>
      </c>
      <c r="I8" s="26" t="s">
        <v>23</v>
      </c>
      <c r="J8" s="27">
        <v>50000000</v>
      </c>
      <c r="K8" s="28">
        <v>0.04</v>
      </c>
      <c r="L8" s="27">
        <f>Tabla1[[#This Row],[Monto 1% u Aporte ]]*Tabla1[[#This Row],[Tasa Propuesta Administración OTIC]]</f>
        <v>2000000</v>
      </c>
      <c r="M8" s="26" t="s">
        <v>68</v>
      </c>
      <c r="N8" s="26" t="s">
        <v>718</v>
      </c>
      <c r="O8" s="26" t="s">
        <v>32</v>
      </c>
      <c r="P8" s="11" t="s">
        <v>13</v>
      </c>
      <c r="Q8" s="27">
        <v>5700000</v>
      </c>
      <c r="R8" s="27">
        <f>Tabla1[[#This Row],[Aporte Ingresado]]-Tabla1[[#This Row],[Monto 1% u Aporte ]]</f>
        <v>-44300000</v>
      </c>
      <c r="S8" s="27" t="s">
        <v>29</v>
      </c>
      <c r="T8" s="175" t="s">
        <v>969</v>
      </c>
      <c r="U8" s="26" t="s">
        <v>720</v>
      </c>
      <c r="V8" s="29" t="s">
        <v>719</v>
      </c>
      <c r="W8" s="29"/>
      <c r="X8" s="29"/>
      <c r="Y8" s="26" t="s">
        <v>721</v>
      </c>
      <c r="Z8" s="30">
        <v>46127</v>
      </c>
    </row>
    <row r="9" spans="1:26" hidden="1" x14ac:dyDescent="0.2">
      <c r="A9" s="22">
        <f t="shared" si="0"/>
        <v>7</v>
      </c>
      <c r="B9" s="23" t="s">
        <v>682</v>
      </c>
      <c r="C9" s="24" t="s">
        <v>964</v>
      </c>
      <c r="D9" s="24" t="s">
        <v>1022</v>
      </c>
      <c r="E9" s="25" t="s">
        <v>1021</v>
      </c>
      <c r="F9" s="107"/>
      <c r="G9" s="26" t="s">
        <v>87</v>
      </c>
      <c r="H9" s="24" t="s">
        <v>20</v>
      </c>
      <c r="I9" s="26" t="s">
        <v>23</v>
      </c>
      <c r="J9" s="27">
        <v>30000000</v>
      </c>
      <c r="K9" s="28">
        <v>7.0000000000000007E-2</v>
      </c>
      <c r="L9" s="27">
        <f>Tabla1[[#This Row],[Monto 1% u Aporte ]]*Tabla1[[#This Row],[Tasa Propuesta Administración OTIC]]</f>
        <v>2100000</v>
      </c>
      <c r="M9" s="26" t="s">
        <v>44</v>
      </c>
      <c r="N9" s="26" t="s">
        <v>29</v>
      </c>
      <c r="O9" s="26" t="s">
        <v>34</v>
      </c>
      <c r="P9" s="11" t="s">
        <v>13</v>
      </c>
      <c r="Q9" s="27">
        <v>7526896</v>
      </c>
      <c r="R9" s="27">
        <f>Tabla1[[#This Row],[Aporte Ingresado]]-Tabla1[[#This Row],[Monto 1% u Aporte ]]</f>
        <v>-22473104</v>
      </c>
      <c r="S9" s="27" t="s">
        <v>29</v>
      </c>
      <c r="T9" s="175" t="s">
        <v>969</v>
      </c>
      <c r="U9" s="26" t="s">
        <v>691</v>
      </c>
      <c r="V9" s="29" t="s">
        <v>690</v>
      </c>
      <c r="W9" s="29"/>
      <c r="X9" s="29"/>
      <c r="Y9" s="26"/>
      <c r="Z9" s="30"/>
    </row>
    <row r="10" spans="1:26" hidden="1" x14ac:dyDescent="0.2">
      <c r="A10" s="22">
        <f t="shared" si="0"/>
        <v>8</v>
      </c>
      <c r="B10" s="23" t="s">
        <v>143</v>
      </c>
      <c r="C10" s="24" t="s">
        <v>964</v>
      </c>
      <c r="D10" s="25" t="s">
        <v>1025</v>
      </c>
      <c r="E10" s="25" t="s">
        <v>955</v>
      </c>
      <c r="F10" s="107"/>
      <c r="G10" s="26" t="s">
        <v>111</v>
      </c>
      <c r="H10" s="24" t="s">
        <v>20</v>
      </c>
      <c r="I10" s="26" t="s">
        <v>23</v>
      </c>
      <c r="J10" s="27">
        <v>80000000</v>
      </c>
      <c r="K10" s="28">
        <v>0.08</v>
      </c>
      <c r="L10" s="27">
        <f>Tabla1[[#This Row],[Monto 1% u Aporte ]]*Tabla1[[#This Row],[Tasa Propuesta Administración OTIC]]</f>
        <v>6400000</v>
      </c>
      <c r="M10" s="26" t="s">
        <v>38</v>
      </c>
      <c r="N10" s="26" t="s">
        <v>136</v>
      </c>
      <c r="O10" s="26" t="s">
        <v>28</v>
      </c>
      <c r="P10" s="11" t="s">
        <v>13</v>
      </c>
      <c r="Q10" s="27">
        <v>17537368</v>
      </c>
      <c r="R10" s="27">
        <f>Tabla1[[#This Row],[Aporte Ingresado]]-Tabla1[[#This Row],[Monto 1% u Aporte ]]</f>
        <v>-62462632</v>
      </c>
      <c r="S10" s="27" t="s">
        <v>29</v>
      </c>
      <c r="T10" s="175" t="s">
        <v>969</v>
      </c>
      <c r="U10" s="26" t="s">
        <v>615</v>
      </c>
      <c r="V10" s="29" t="s">
        <v>614</v>
      </c>
      <c r="W10" s="29"/>
      <c r="X10" s="29"/>
      <c r="Y10" s="26" t="s">
        <v>138</v>
      </c>
      <c r="Z10" s="30"/>
    </row>
    <row r="11" spans="1:26" hidden="1" x14ac:dyDescent="0.2">
      <c r="A11" s="22">
        <f t="shared" si="0"/>
        <v>9</v>
      </c>
      <c r="B11" s="23" t="s">
        <v>722</v>
      </c>
      <c r="C11" s="24" t="s">
        <v>964</v>
      </c>
      <c r="D11" s="25" t="s">
        <v>724</v>
      </c>
      <c r="E11" s="25" t="s">
        <v>835</v>
      </c>
      <c r="F11" s="107"/>
      <c r="G11" s="26" t="s">
        <v>86</v>
      </c>
      <c r="H11" s="24" t="s">
        <v>20</v>
      </c>
      <c r="I11" s="26" t="s">
        <v>23</v>
      </c>
      <c r="J11" s="27">
        <v>16000000</v>
      </c>
      <c r="K11" s="28">
        <v>0.15</v>
      </c>
      <c r="L11" s="27">
        <f>Tabla1[[#This Row],[Monto 1% u Aporte ]]*Tabla1[[#This Row],[Tasa Propuesta Administración OTIC]]</f>
        <v>2400000</v>
      </c>
      <c r="M11" s="26" t="s">
        <v>68</v>
      </c>
      <c r="N11" s="26" t="s">
        <v>718</v>
      </c>
      <c r="O11" s="26" t="s">
        <v>32</v>
      </c>
      <c r="P11" s="11" t="s">
        <v>13</v>
      </c>
      <c r="Q11" s="27">
        <v>2597647</v>
      </c>
      <c r="R11" s="27">
        <f>Tabla1[[#This Row],[Aporte Ingresado]]-Tabla1[[#This Row],[Monto 1% u Aporte ]]</f>
        <v>-13402353</v>
      </c>
      <c r="S11" s="27" t="s">
        <v>29</v>
      </c>
      <c r="T11" s="24" t="s">
        <v>352</v>
      </c>
      <c r="U11" s="26" t="s">
        <v>352</v>
      </c>
      <c r="V11" s="29" t="s">
        <v>352</v>
      </c>
      <c r="W11" s="29" t="s">
        <v>352</v>
      </c>
      <c r="X11" s="29"/>
      <c r="Y11" s="26" t="s">
        <v>352</v>
      </c>
      <c r="Z11" s="30"/>
    </row>
    <row r="12" spans="1:26" ht="12" hidden="1" customHeight="1" x14ac:dyDescent="0.2">
      <c r="A12" s="22">
        <f t="shared" si="0"/>
        <v>10</v>
      </c>
      <c r="B12" s="23" t="s">
        <v>80</v>
      </c>
      <c r="C12" s="24" t="s">
        <v>964</v>
      </c>
      <c r="D12" s="24" t="s">
        <v>91</v>
      </c>
      <c r="E12" s="24" t="s">
        <v>92</v>
      </c>
      <c r="F12" s="24"/>
      <c r="G12" s="26" t="s">
        <v>111</v>
      </c>
      <c r="H12" s="24" t="s">
        <v>20</v>
      </c>
      <c r="I12" s="26" t="s">
        <v>23</v>
      </c>
      <c r="J12" s="27">
        <v>10000000</v>
      </c>
      <c r="K12" s="28">
        <v>0.11</v>
      </c>
      <c r="L12" s="27">
        <f>Tabla1[[#This Row],[Monto 1% u Aporte ]]*Tabla1[[#This Row],[Tasa Propuesta Administración OTIC]]</f>
        <v>1100000</v>
      </c>
      <c r="M12" s="26" t="s">
        <v>68</v>
      </c>
      <c r="N12" s="26" t="s">
        <v>36</v>
      </c>
      <c r="O12" s="26" t="s">
        <v>33</v>
      </c>
      <c r="P12" s="11" t="s">
        <v>13</v>
      </c>
      <c r="Q12" s="27">
        <v>1000000</v>
      </c>
      <c r="R12" s="27">
        <f>Tabla1[[#This Row],[Aporte Ingresado]]-Tabla1[[#This Row],[Monto 1% u Aporte ]]</f>
        <v>-9000000</v>
      </c>
      <c r="S12" s="27" t="s">
        <v>29</v>
      </c>
      <c r="T12" s="175" t="s">
        <v>969</v>
      </c>
      <c r="U12" s="26" t="s">
        <v>72</v>
      </c>
      <c r="V12" s="29" t="s">
        <v>71</v>
      </c>
      <c r="W12" s="29"/>
      <c r="X12" s="29"/>
      <c r="Y12" s="26" t="s">
        <v>73</v>
      </c>
      <c r="Z12" s="30">
        <v>46036</v>
      </c>
    </row>
    <row r="13" spans="1:26" hidden="1" x14ac:dyDescent="0.2">
      <c r="A13" s="22">
        <f t="shared" si="0"/>
        <v>11</v>
      </c>
      <c r="B13" s="23" t="s">
        <v>623</v>
      </c>
      <c r="C13" s="24" t="s">
        <v>964</v>
      </c>
      <c r="D13" s="24" t="s">
        <v>658</v>
      </c>
      <c r="E13" s="24" t="s">
        <v>659</v>
      </c>
      <c r="F13" s="107"/>
      <c r="G13" s="26" t="s">
        <v>111</v>
      </c>
      <c r="H13" s="24" t="s">
        <v>20</v>
      </c>
      <c r="I13" s="26" t="s">
        <v>23</v>
      </c>
      <c r="J13" s="27">
        <v>30000000</v>
      </c>
      <c r="K13" s="28">
        <v>0.1</v>
      </c>
      <c r="L13" s="27">
        <f>Tabla1[[#This Row],[Monto 1% u Aporte ]]*Tabla1[[#This Row],[Tasa Propuesta Administración OTIC]]</f>
        <v>3000000</v>
      </c>
      <c r="M13" s="26" t="s">
        <v>44</v>
      </c>
      <c r="N13" s="26" t="s">
        <v>136</v>
      </c>
      <c r="O13" s="26" t="s">
        <v>34</v>
      </c>
      <c r="P13" s="11" t="s">
        <v>13</v>
      </c>
      <c r="Q13" s="27">
        <v>5000000</v>
      </c>
      <c r="R13" s="27">
        <f>Tabla1[[#This Row],[Aporte Ingresado]]-Tabla1[[#This Row],[Monto 1% u Aporte ]]</f>
        <v>-25000000</v>
      </c>
      <c r="S13" s="27" t="s">
        <v>29</v>
      </c>
      <c r="T13" s="175" t="s">
        <v>969</v>
      </c>
      <c r="U13" s="26" t="s">
        <v>625</v>
      </c>
      <c r="V13" s="29" t="s">
        <v>624</v>
      </c>
      <c r="W13" s="29"/>
      <c r="X13" s="29"/>
      <c r="Y13" s="26"/>
      <c r="Z13" s="30"/>
    </row>
    <row r="14" spans="1:26" ht="12" hidden="1" customHeight="1" x14ac:dyDescent="0.2">
      <c r="A14" s="22">
        <f t="shared" si="0"/>
        <v>12</v>
      </c>
      <c r="B14" s="23" t="s">
        <v>623</v>
      </c>
      <c r="C14" s="24" t="s">
        <v>964</v>
      </c>
      <c r="D14" s="24" t="s">
        <v>678</v>
      </c>
      <c r="E14" s="25" t="s">
        <v>679</v>
      </c>
      <c r="F14" s="22"/>
      <c r="G14" s="26" t="s">
        <v>111</v>
      </c>
      <c r="H14" s="24" t="s">
        <v>20</v>
      </c>
      <c r="I14" s="26" t="s">
        <v>23</v>
      </c>
      <c r="J14" s="27">
        <v>0</v>
      </c>
      <c r="K14" s="28">
        <v>0</v>
      </c>
      <c r="L14" s="27">
        <f>Tabla1[[#This Row],[Monto 1% u Aporte ]]*Tabla1[[#This Row],[Tasa Propuesta Administración OTIC]]</f>
        <v>0</v>
      </c>
      <c r="M14" s="26" t="s">
        <v>44</v>
      </c>
      <c r="N14" s="26" t="s">
        <v>136</v>
      </c>
      <c r="O14" s="26" t="s">
        <v>34</v>
      </c>
      <c r="P14" s="11" t="s">
        <v>13</v>
      </c>
      <c r="Q14" s="27">
        <v>2000000</v>
      </c>
      <c r="R14" s="27">
        <f>Tabla1[[#This Row],[Aporte Ingresado]]-Tabla1[[#This Row],[Monto 1% u Aporte ]]</f>
        <v>2000000</v>
      </c>
      <c r="S14" s="27" t="s">
        <v>29</v>
      </c>
      <c r="T14" s="24" t="s">
        <v>352</v>
      </c>
      <c r="U14" s="26" t="s">
        <v>352</v>
      </c>
      <c r="V14" s="29" t="s">
        <v>352</v>
      </c>
      <c r="W14" s="29"/>
      <c r="X14" s="29"/>
      <c r="Y14" s="26"/>
      <c r="Z14" s="30"/>
    </row>
    <row r="15" spans="1:26" ht="12" hidden="1" customHeight="1" x14ac:dyDescent="0.2">
      <c r="A15" s="22">
        <f t="shared" si="0"/>
        <v>13</v>
      </c>
      <c r="B15" s="138" t="s">
        <v>50</v>
      </c>
      <c r="C15" s="24" t="s">
        <v>964</v>
      </c>
      <c r="D15" s="24" t="s">
        <v>647</v>
      </c>
      <c r="E15" s="25" t="s">
        <v>648</v>
      </c>
      <c r="F15" s="22"/>
      <c r="G15" s="26" t="s">
        <v>89</v>
      </c>
      <c r="H15" s="24" t="s">
        <v>20</v>
      </c>
      <c r="I15" s="26" t="s">
        <v>24</v>
      </c>
      <c r="J15" s="27">
        <v>500000000</v>
      </c>
      <c r="K15" s="31">
        <v>0.05</v>
      </c>
      <c r="L15" s="27">
        <f>Tabla1[[#This Row],[Monto 1% u Aporte ]]*Tabla1[[#This Row],[Tasa Propuesta Administración OTIC]]</f>
        <v>25000000</v>
      </c>
      <c r="M15" s="26" t="s">
        <v>44</v>
      </c>
      <c r="N15" s="26" t="s">
        <v>36</v>
      </c>
      <c r="O15" s="26" t="s">
        <v>31</v>
      </c>
      <c r="P15" s="11" t="s">
        <v>13</v>
      </c>
      <c r="Q15" s="27">
        <v>212000000</v>
      </c>
      <c r="R15" s="27">
        <f>Tabla1[[#This Row],[Aporte Ingresado]]-Tabla1[[#This Row],[Monto 1% u Aporte ]]</f>
        <v>-288000000</v>
      </c>
      <c r="S15" s="27" t="s">
        <v>29</v>
      </c>
      <c r="T15" s="175" t="s">
        <v>969</v>
      </c>
      <c r="U15" s="26" t="s">
        <v>49</v>
      </c>
      <c r="V15" s="29" t="s">
        <v>48</v>
      </c>
      <c r="W15" s="29"/>
      <c r="X15" s="29"/>
      <c r="Y15" s="26" t="s">
        <v>59</v>
      </c>
      <c r="Z15" s="30">
        <v>46031</v>
      </c>
    </row>
    <row r="16" spans="1:26" ht="12" hidden="1" customHeight="1" x14ac:dyDescent="0.2">
      <c r="A16" s="22">
        <f t="shared" si="0"/>
        <v>14</v>
      </c>
      <c r="B16" s="138" t="s">
        <v>50</v>
      </c>
      <c r="C16" s="24" t="s">
        <v>964</v>
      </c>
      <c r="D16" s="24" t="s">
        <v>709</v>
      </c>
      <c r="E16" s="24" t="s">
        <v>708</v>
      </c>
      <c r="F16" s="107"/>
      <c r="G16" s="26" t="s">
        <v>89</v>
      </c>
      <c r="H16" s="24" t="s">
        <v>20</v>
      </c>
      <c r="I16" s="26" t="s">
        <v>24</v>
      </c>
      <c r="J16" s="27">
        <v>0</v>
      </c>
      <c r="K16" s="28">
        <v>0</v>
      </c>
      <c r="L16" s="27">
        <f>Tabla1[[#This Row],[Monto 1% u Aporte ]]*Tabla1[[#This Row],[Tasa Propuesta Administración OTIC]]</f>
        <v>0</v>
      </c>
      <c r="M16" s="26" t="s">
        <v>44</v>
      </c>
      <c r="N16" s="26" t="s">
        <v>36</v>
      </c>
      <c r="O16" s="26" t="s">
        <v>31</v>
      </c>
      <c r="P16" s="11" t="s">
        <v>13</v>
      </c>
      <c r="Q16" s="27">
        <v>8000000</v>
      </c>
      <c r="R16" s="27">
        <f>Tabla1[[#This Row],[Aporte Ingresado]]-Tabla1[[#This Row],[Monto 1% u Aporte ]]</f>
        <v>8000000</v>
      </c>
      <c r="S16" s="27" t="s">
        <v>29</v>
      </c>
      <c r="T16" s="24" t="s">
        <v>352</v>
      </c>
      <c r="U16" s="26" t="s">
        <v>352</v>
      </c>
      <c r="V16" s="29" t="s">
        <v>352</v>
      </c>
      <c r="W16" s="29"/>
      <c r="X16" s="29"/>
      <c r="Y16" s="26"/>
      <c r="Z16" s="30"/>
    </row>
    <row r="17" spans="1:26" ht="12" hidden="1" customHeight="1" x14ac:dyDescent="0.2">
      <c r="A17" s="22">
        <f t="shared" si="0"/>
        <v>15</v>
      </c>
      <c r="B17" s="23" t="s">
        <v>683</v>
      </c>
      <c r="C17" s="24" t="s">
        <v>964</v>
      </c>
      <c r="D17" s="24" t="s">
        <v>1024</v>
      </c>
      <c r="E17" s="24" t="s">
        <v>1023</v>
      </c>
      <c r="F17" s="107"/>
      <c r="G17" s="26" t="s">
        <v>88</v>
      </c>
      <c r="H17" s="24" t="s">
        <v>20</v>
      </c>
      <c r="I17" s="26" t="s">
        <v>23</v>
      </c>
      <c r="J17" s="27">
        <v>5000000</v>
      </c>
      <c r="K17" s="28">
        <v>0.1</v>
      </c>
      <c r="L17" s="27">
        <f>Tabla1[[#This Row],[Monto 1% u Aporte ]]*Tabla1[[#This Row],[Tasa Propuesta Administración OTIC]]</f>
        <v>500000</v>
      </c>
      <c r="M17" s="26" t="s">
        <v>68</v>
      </c>
      <c r="N17" s="26" t="s">
        <v>36</v>
      </c>
      <c r="O17" s="26" t="s">
        <v>28</v>
      </c>
      <c r="P17" s="11" t="s">
        <v>13</v>
      </c>
      <c r="Q17" s="27">
        <v>1980000</v>
      </c>
      <c r="R17" s="27">
        <f>Tabla1[[#This Row],[Aporte Ingresado]]-Tabla1[[#This Row],[Monto 1% u Aporte ]]</f>
        <v>-3020000</v>
      </c>
      <c r="S17" s="27" t="s">
        <v>29</v>
      </c>
      <c r="T17" s="175" t="s">
        <v>969</v>
      </c>
      <c r="U17" s="26" t="s">
        <v>958</v>
      </c>
      <c r="V17" s="29" t="s">
        <v>957</v>
      </c>
      <c r="W17" s="29"/>
      <c r="X17" s="29"/>
      <c r="Y17" s="26"/>
      <c r="Z17" s="30"/>
    </row>
    <row r="18" spans="1:26" ht="12" hidden="1" customHeight="1" x14ac:dyDescent="0.2">
      <c r="A18" s="22">
        <f t="shared" si="0"/>
        <v>16</v>
      </c>
      <c r="B18" s="23" t="s">
        <v>122</v>
      </c>
      <c r="C18" s="24" t="s">
        <v>964</v>
      </c>
      <c r="D18" s="24" t="s">
        <v>710</v>
      </c>
      <c r="E18" s="24" t="s">
        <v>123</v>
      </c>
      <c r="F18" s="24"/>
      <c r="G18" s="26" t="s">
        <v>111</v>
      </c>
      <c r="H18" s="24" t="s">
        <v>20</v>
      </c>
      <c r="I18" s="26" t="s">
        <v>23</v>
      </c>
      <c r="J18" s="27">
        <v>50000000</v>
      </c>
      <c r="K18" s="28">
        <v>0.08</v>
      </c>
      <c r="L18" s="27">
        <f>Tabla1[[#This Row],[Monto 1% u Aporte ]]*Tabla1[[#This Row],[Tasa Propuesta Administración OTIC]]</f>
        <v>4000000</v>
      </c>
      <c r="M18" s="26" t="s">
        <v>44</v>
      </c>
      <c r="N18" s="26" t="s">
        <v>136</v>
      </c>
      <c r="O18" s="26" t="s">
        <v>34</v>
      </c>
      <c r="P18" s="11" t="s">
        <v>13</v>
      </c>
      <c r="Q18" s="27">
        <v>22750000</v>
      </c>
      <c r="R18" s="27">
        <f>Tabla1[[#This Row],[Aporte Ingresado]]-Tabla1[[#This Row],[Monto 1% u Aporte ]]</f>
        <v>-27250000</v>
      </c>
      <c r="S18" s="27" t="s">
        <v>29</v>
      </c>
      <c r="T18" s="24" t="s">
        <v>352</v>
      </c>
      <c r="U18" s="26" t="s">
        <v>352</v>
      </c>
      <c r="V18" s="29" t="s">
        <v>352</v>
      </c>
      <c r="W18" s="29"/>
      <c r="X18" s="29"/>
      <c r="Y18" s="26" t="s">
        <v>646</v>
      </c>
      <c r="Z18" s="30">
        <v>46064</v>
      </c>
    </row>
    <row r="19" spans="1:26" ht="12" hidden="1" customHeight="1" x14ac:dyDescent="0.2">
      <c r="A19" s="22">
        <f t="shared" si="0"/>
        <v>17</v>
      </c>
      <c r="B19" s="23" t="s">
        <v>94</v>
      </c>
      <c r="C19" s="24" t="s">
        <v>964</v>
      </c>
      <c r="D19" s="24" t="s">
        <v>127</v>
      </c>
      <c r="E19" s="26" t="s">
        <v>126</v>
      </c>
      <c r="F19" s="107"/>
      <c r="G19" s="26" t="s">
        <v>93</v>
      </c>
      <c r="H19" s="24" t="s">
        <v>20</v>
      </c>
      <c r="I19" s="26" t="s">
        <v>23</v>
      </c>
      <c r="J19" s="27">
        <v>120000000</v>
      </c>
      <c r="K19" s="28">
        <v>0.02</v>
      </c>
      <c r="L19" s="27">
        <f>Tabla1[[#This Row],[Monto 1% u Aporte ]]*Tabla1[[#This Row],[Tasa Propuesta Administración OTIC]]</f>
        <v>2400000</v>
      </c>
      <c r="M19" s="26" t="s">
        <v>40</v>
      </c>
      <c r="N19" s="26" t="s">
        <v>36</v>
      </c>
      <c r="O19" s="26" t="s">
        <v>32</v>
      </c>
      <c r="P19" s="11" t="s">
        <v>13</v>
      </c>
      <c r="Q19" s="27">
        <v>43594855</v>
      </c>
      <c r="R19" s="27">
        <f>Tabla1[[#This Row],[Aporte Ingresado]]-Tabla1[[#This Row],[Monto 1% u Aporte ]]</f>
        <v>-76405145</v>
      </c>
      <c r="S19" s="27" t="s">
        <v>29</v>
      </c>
      <c r="T19" s="175" t="s">
        <v>969</v>
      </c>
      <c r="U19" s="26" t="s">
        <v>98</v>
      </c>
      <c r="V19" s="29" t="s">
        <v>97</v>
      </c>
      <c r="W19" s="29"/>
      <c r="X19" s="29"/>
      <c r="Y19" s="26"/>
      <c r="Z19" s="30">
        <v>46038</v>
      </c>
    </row>
    <row r="20" spans="1:26" ht="12" hidden="1" customHeight="1" x14ac:dyDescent="0.2">
      <c r="A20" s="22">
        <f t="shared" si="0"/>
        <v>18</v>
      </c>
      <c r="B20" s="23" t="s">
        <v>135</v>
      </c>
      <c r="C20" s="24" t="s">
        <v>964</v>
      </c>
      <c r="D20" s="24" t="s">
        <v>706</v>
      </c>
      <c r="E20" s="24" t="s">
        <v>707</v>
      </c>
      <c r="F20" s="107"/>
      <c r="G20" s="26" t="s">
        <v>87</v>
      </c>
      <c r="H20" s="24" t="s">
        <v>20</v>
      </c>
      <c r="I20" s="26" t="s">
        <v>24</v>
      </c>
      <c r="J20" s="27">
        <v>82000000</v>
      </c>
      <c r="K20" s="28">
        <v>0.08</v>
      </c>
      <c r="L20" s="27">
        <f>Tabla1[[#This Row],[Monto 1% u Aporte ]]*Tabla1[[#This Row],[Tasa Propuesta Administración OTIC]]</f>
        <v>6560000</v>
      </c>
      <c r="M20" s="26" t="s">
        <v>144</v>
      </c>
      <c r="N20" s="26" t="s">
        <v>136</v>
      </c>
      <c r="O20" s="26" t="s">
        <v>31</v>
      </c>
      <c r="P20" s="11" t="s">
        <v>13</v>
      </c>
      <c r="Q20" s="27">
        <v>41000000</v>
      </c>
      <c r="R20" s="27">
        <f>Tabla1[[#This Row],[Aporte Ingresado]]-Tabla1[[#This Row],[Monto 1% u Aporte ]]</f>
        <v>-41000000</v>
      </c>
      <c r="S20" s="27" t="s">
        <v>29</v>
      </c>
      <c r="T20" s="175" t="s">
        <v>969</v>
      </c>
      <c r="U20" s="26" t="s">
        <v>622</v>
      </c>
      <c r="V20" s="29" t="s">
        <v>137</v>
      </c>
      <c r="W20" s="29"/>
      <c r="X20" s="29"/>
      <c r="Y20" s="26" t="s">
        <v>138</v>
      </c>
      <c r="Z20" s="30">
        <v>46072</v>
      </c>
    </row>
    <row r="21" spans="1:26" ht="12" hidden="1" customHeight="1" x14ac:dyDescent="0.2">
      <c r="A21" s="22">
        <f t="shared" si="0"/>
        <v>19</v>
      </c>
      <c r="B21" s="23" t="s">
        <v>85</v>
      </c>
      <c r="C21" s="24" t="s">
        <v>964</v>
      </c>
      <c r="D21" s="24" t="s">
        <v>79</v>
      </c>
      <c r="E21" s="24" t="s">
        <v>83</v>
      </c>
      <c r="F21" s="24"/>
      <c r="G21" s="26" t="s">
        <v>74</v>
      </c>
      <c r="H21" s="24" t="s">
        <v>20</v>
      </c>
      <c r="I21" s="26" t="s">
        <v>26</v>
      </c>
      <c r="J21" s="27">
        <v>240000000</v>
      </c>
      <c r="K21" s="28">
        <v>0</v>
      </c>
      <c r="L21" s="27">
        <f>Tabla1[[#This Row],[Monto 1% u Aporte ]]*Tabla1[[#This Row],[Tasa Propuesta Administración OTIC]]</f>
        <v>0</v>
      </c>
      <c r="M21" s="26" t="s">
        <v>44</v>
      </c>
      <c r="N21" s="26" t="s">
        <v>74</v>
      </c>
      <c r="O21" s="26" t="s">
        <v>75</v>
      </c>
      <c r="P21" s="11" t="s">
        <v>13</v>
      </c>
      <c r="Q21" s="27">
        <v>240000000</v>
      </c>
      <c r="R21" s="27">
        <f>Tabla1[[#This Row],[Aporte Ingresado]]-Tabla1[[#This Row],[Monto 1% u Aporte ]]</f>
        <v>0</v>
      </c>
      <c r="S21" s="27" t="s">
        <v>74</v>
      </c>
      <c r="T21" s="175" t="s">
        <v>969</v>
      </c>
      <c r="U21" s="26" t="s">
        <v>99</v>
      </c>
      <c r="V21" s="26" t="s">
        <v>99</v>
      </c>
      <c r="W21" s="26"/>
      <c r="X21" s="26"/>
      <c r="Y21" s="26" t="s">
        <v>74</v>
      </c>
      <c r="Z21" s="153" t="s">
        <v>29</v>
      </c>
    </row>
    <row r="22" spans="1:26" ht="12" hidden="1" customHeight="1" x14ac:dyDescent="0.2">
      <c r="A22" s="22">
        <f t="shared" si="0"/>
        <v>20</v>
      </c>
      <c r="B22" s="23" t="s">
        <v>101</v>
      </c>
      <c r="C22" s="24" t="s">
        <v>964</v>
      </c>
      <c r="D22" s="24" t="s">
        <v>863</v>
      </c>
      <c r="E22" s="24" t="s">
        <v>807</v>
      </c>
      <c r="F22" s="107"/>
      <c r="G22" s="26" t="s">
        <v>12</v>
      </c>
      <c r="H22" s="24" t="s">
        <v>20</v>
      </c>
      <c r="I22" s="26" t="s">
        <v>23</v>
      </c>
      <c r="J22" s="27">
        <v>40000000</v>
      </c>
      <c r="K22" s="28">
        <v>0.06</v>
      </c>
      <c r="L22" s="27">
        <f>Tabla1[[#This Row],[Monto 1% u Aporte ]]*Tabla1[[#This Row],[Tasa Propuesta Administración OTIC]]</f>
        <v>2400000</v>
      </c>
      <c r="M22" s="26" t="s">
        <v>68</v>
      </c>
      <c r="N22" s="26" t="s">
        <v>36</v>
      </c>
      <c r="O22" s="26" t="s">
        <v>28</v>
      </c>
      <c r="P22" s="11" t="s">
        <v>13</v>
      </c>
      <c r="Q22" s="27">
        <v>1431108</v>
      </c>
      <c r="R22" s="27">
        <f>Tabla1[[#This Row],[Aporte Ingresado]]-Tabla1[[#This Row],[Monto 1% u Aporte ]]</f>
        <v>-38568892</v>
      </c>
      <c r="S22" s="27" t="s">
        <v>29</v>
      </c>
      <c r="T22" s="175" t="s">
        <v>969</v>
      </c>
      <c r="U22" s="26" t="s">
        <v>103</v>
      </c>
      <c r="V22" s="29" t="s">
        <v>102</v>
      </c>
      <c r="W22" s="29"/>
      <c r="X22" s="29"/>
      <c r="Y22" s="26"/>
      <c r="Z22" s="30">
        <v>46042</v>
      </c>
    </row>
    <row r="23" spans="1:26" ht="12" hidden="1" customHeight="1" x14ac:dyDescent="0.2">
      <c r="A23" s="22">
        <f t="shared" si="0"/>
        <v>21</v>
      </c>
      <c r="B23" s="23" t="s">
        <v>101</v>
      </c>
      <c r="C23" s="24" t="s">
        <v>964</v>
      </c>
      <c r="D23" s="24" t="s">
        <v>864</v>
      </c>
      <c r="E23" s="24" t="s">
        <v>815</v>
      </c>
      <c r="F23" s="107"/>
      <c r="G23" s="26" t="s">
        <v>12</v>
      </c>
      <c r="H23" s="24" t="s">
        <v>20</v>
      </c>
      <c r="I23" s="26" t="s">
        <v>23</v>
      </c>
      <c r="J23" s="27">
        <v>0</v>
      </c>
      <c r="K23" s="28">
        <v>0</v>
      </c>
      <c r="L23" s="27">
        <f>Tabla1[[#This Row],[Monto 1% u Aporte ]]*Tabla1[[#This Row],[Tasa Propuesta Administración OTIC]]</f>
        <v>0</v>
      </c>
      <c r="M23" s="26" t="s">
        <v>68</v>
      </c>
      <c r="N23" s="26" t="s">
        <v>36</v>
      </c>
      <c r="O23" s="26" t="s">
        <v>28</v>
      </c>
      <c r="P23" s="11" t="s">
        <v>13</v>
      </c>
      <c r="Q23" s="27">
        <v>6757826</v>
      </c>
      <c r="R23" s="27">
        <f>Tabla1[[#This Row],[Aporte Ingresado]]-Tabla1[[#This Row],[Monto 1% u Aporte ]]</f>
        <v>6757826</v>
      </c>
      <c r="S23" s="27" t="s">
        <v>29</v>
      </c>
      <c r="T23" s="24" t="s">
        <v>352</v>
      </c>
      <c r="U23" s="26" t="s">
        <v>352</v>
      </c>
      <c r="V23" s="29" t="s">
        <v>352</v>
      </c>
      <c r="W23" s="29"/>
      <c r="X23" s="29"/>
      <c r="Y23" s="26"/>
      <c r="Z23" s="30"/>
    </row>
    <row r="24" spans="1:26" ht="12" hidden="1" customHeight="1" x14ac:dyDescent="0.2">
      <c r="A24" s="22">
        <f t="shared" si="0"/>
        <v>22</v>
      </c>
      <c r="B24" s="23" t="s">
        <v>101</v>
      </c>
      <c r="C24" s="24" t="s">
        <v>964</v>
      </c>
      <c r="D24" s="25" t="s">
        <v>866</v>
      </c>
      <c r="E24" s="24" t="s">
        <v>817</v>
      </c>
      <c r="F24" s="126"/>
      <c r="G24" s="26" t="s">
        <v>12</v>
      </c>
      <c r="H24" s="24" t="s">
        <v>20</v>
      </c>
      <c r="I24" s="26" t="s">
        <v>23</v>
      </c>
      <c r="J24" s="27">
        <v>0</v>
      </c>
      <c r="K24" s="28">
        <v>0</v>
      </c>
      <c r="L24" s="27">
        <f>Tabla1[[#This Row],[Monto 1% u Aporte ]]*Tabla1[[#This Row],[Tasa Propuesta Administración OTIC]]</f>
        <v>0</v>
      </c>
      <c r="M24" s="26" t="s">
        <v>68</v>
      </c>
      <c r="N24" s="26" t="s">
        <v>36</v>
      </c>
      <c r="O24" s="26" t="s">
        <v>28</v>
      </c>
      <c r="P24" s="11" t="s">
        <v>13</v>
      </c>
      <c r="Q24" s="27">
        <v>20227954</v>
      </c>
      <c r="R24" s="27">
        <f>Tabla1[[#This Row],[Aporte Ingresado]]-Tabla1[[#This Row],[Monto 1% u Aporte ]]</f>
        <v>20227954</v>
      </c>
      <c r="S24" s="27" t="s">
        <v>29</v>
      </c>
      <c r="T24" s="24" t="s">
        <v>352</v>
      </c>
      <c r="U24" s="26" t="s">
        <v>352</v>
      </c>
      <c r="V24" s="29" t="s">
        <v>352</v>
      </c>
      <c r="W24" s="29"/>
      <c r="X24" s="29"/>
      <c r="Y24" s="26"/>
      <c r="Z24" s="30"/>
    </row>
    <row r="25" spans="1:26" ht="12" hidden="1" customHeight="1" x14ac:dyDescent="0.2">
      <c r="A25" s="22">
        <f t="shared" si="0"/>
        <v>23</v>
      </c>
      <c r="B25" s="23" t="s">
        <v>101</v>
      </c>
      <c r="C25" s="24" t="s">
        <v>964</v>
      </c>
      <c r="D25" s="24" t="s">
        <v>867</v>
      </c>
      <c r="E25" s="24" t="s">
        <v>819</v>
      </c>
      <c r="F25" s="107"/>
      <c r="G25" s="26" t="s">
        <v>12</v>
      </c>
      <c r="H25" s="24" t="s">
        <v>20</v>
      </c>
      <c r="I25" s="26" t="s">
        <v>23</v>
      </c>
      <c r="J25" s="27">
        <v>0</v>
      </c>
      <c r="K25" s="28">
        <v>0</v>
      </c>
      <c r="L25" s="27">
        <f>Tabla1[[#This Row],[Monto 1% u Aporte ]]*Tabla1[[#This Row],[Tasa Propuesta Administración OTIC]]</f>
        <v>0</v>
      </c>
      <c r="M25" s="26" t="s">
        <v>68</v>
      </c>
      <c r="N25" s="26" t="s">
        <v>36</v>
      </c>
      <c r="O25" s="26" t="s">
        <v>28</v>
      </c>
      <c r="P25" s="11" t="s">
        <v>13</v>
      </c>
      <c r="Q25" s="27">
        <v>1190280</v>
      </c>
      <c r="R25" s="27">
        <f>Tabla1[[#This Row],[Aporte Ingresado]]-Tabla1[[#This Row],[Monto 1% u Aporte ]]</f>
        <v>1190280</v>
      </c>
      <c r="S25" s="27" t="s">
        <v>29</v>
      </c>
      <c r="T25" s="24" t="s">
        <v>352</v>
      </c>
      <c r="U25" s="26" t="s">
        <v>352</v>
      </c>
      <c r="V25" s="29" t="s">
        <v>352</v>
      </c>
      <c r="W25" s="29"/>
      <c r="X25" s="29"/>
      <c r="Y25" s="26"/>
      <c r="Z25" s="30"/>
    </row>
    <row r="26" spans="1:26" ht="12" hidden="1" customHeight="1" x14ac:dyDescent="0.2">
      <c r="A26" s="22">
        <f t="shared" si="0"/>
        <v>24</v>
      </c>
      <c r="B26" s="23" t="s">
        <v>101</v>
      </c>
      <c r="C26" s="24" t="s">
        <v>964</v>
      </c>
      <c r="D26" s="24" t="s">
        <v>868</v>
      </c>
      <c r="E26" s="24" t="s">
        <v>821</v>
      </c>
      <c r="F26" s="22"/>
      <c r="G26" s="26" t="s">
        <v>12</v>
      </c>
      <c r="H26" s="24" t="s">
        <v>20</v>
      </c>
      <c r="I26" s="26" t="s">
        <v>23</v>
      </c>
      <c r="J26" s="27">
        <v>0</v>
      </c>
      <c r="K26" s="28">
        <v>0</v>
      </c>
      <c r="L26" s="27">
        <f>Tabla1[[#This Row],[Monto 1% u Aporte ]]*Tabla1[[#This Row],[Tasa Propuesta Administración OTIC]]</f>
        <v>0</v>
      </c>
      <c r="M26" s="26" t="s">
        <v>68</v>
      </c>
      <c r="N26" s="26" t="s">
        <v>36</v>
      </c>
      <c r="O26" s="26" t="s">
        <v>28</v>
      </c>
      <c r="P26" s="11" t="s">
        <v>13</v>
      </c>
      <c r="Q26" s="27">
        <v>13611900</v>
      </c>
      <c r="R26" s="27">
        <f>Tabla1[[#This Row],[Aporte Ingresado]]-Tabla1[[#This Row],[Monto 1% u Aporte ]]</f>
        <v>13611900</v>
      </c>
      <c r="S26" s="27" t="s">
        <v>29</v>
      </c>
      <c r="T26" s="24" t="s">
        <v>352</v>
      </c>
      <c r="U26" s="26" t="s">
        <v>352</v>
      </c>
      <c r="V26" s="29" t="s">
        <v>352</v>
      </c>
      <c r="W26" s="29"/>
      <c r="X26" s="29"/>
      <c r="Y26" s="26"/>
      <c r="Z26" s="30"/>
    </row>
    <row r="27" spans="1:26" hidden="1" x14ac:dyDescent="0.2">
      <c r="A27" s="22">
        <f t="shared" si="0"/>
        <v>25</v>
      </c>
      <c r="B27" s="23" t="s">
        <v>101</v>
      </c>
      <c r="C27" s="24" t="s">
        <v>964</v>
      </c>
      <c r="D27" s="24" t="s">
        <v>869</v>
      </c>
      <c r="E27" s="24" t="s">
        <v>823</v>
      </c>
      <c r="F27" s="107"/>
      <c r="G27" s="26" t="s">
        <v>12</v>
      </c>
      <c r="H27" s="24" t="s">
        <v>20</v>
      </c>
      <c r="I27" s="26" t="s">
        <v>23</v>
      </c>
      <c r="J27" s="27">
        <v>0</v>
      </c>
      <c r="K27" s="28">
        <v>0</v>
      </c>
      <c r="L27" s="27">
        <f>Tabla1[[#This Row],[Monto 1% u Aporte ]]*Tabla1[[#This Row],[Tasa Propuesta Administración OTIC]]</f>
        <v>0</v>
      </c>
      <c r="M27" s="26" t="s">
        <v>68</v>
      </c>
      <c r="N27" s="26" t="s">
        <v>36</v>
      </c>
      <c r="O27" s="26" t="s">
        <v>28</v>
      </c>
      <c r="P27" s="11" t="s">
        <v>13</v>
      </c>
      <c r="Q27" s="27">
        <v>2387964</v>
      </c>
      <c r="R27" s="27">
        <f>Tabla1[[#This Row],[Aporte Ingresado]]-Tabla1[[#This Row],[Monto 1% u Aporte ]]</f>
        <v>2387964</v>
      </c>
      <c r="S27" s="27" t="s">
        <v>29</v>
      </c>
      <c r="T27" s="24" t="s">
        <v>352</v>
      </c>
      <c r="U27" s="26" t="s">
        <v>352</v>
      </c>
      <c r="V27" s="29" t="s">
        <v>352</v>
      </c>
      <c r="W27" s="29"/>
      <c r="X27" s="29"/>
      <c r="Y27" s="26"/>
      <c r="Z27" s="30"/>
    </row>
    <row r="28" spans="1:26" ht="12" hidden="1" customHeight="1" x14ac:dyDescent="0.2">
      <c r="A28" s="22">
        <f t="shared" si="0"/>
        <v>26</v>
      </c>
      <c r="B28" s="23" t="s">
        <v>1061</v>
      </c>
      <c r="C28" s="24" t="s">
        <v>964</v>
      </c>
      <c r="D28" s="24" t="s">
        <v>1059</v>
      </c>
      <c r="E28" s="107" t="s">
        <v>1055</v>
      </c>
      <c r="F28" s="107"/>
      <c r="G28" s="26" t="s">
        <v>12</v>
      </c>
      <c r="H28" s="24"/>
      <c r="I28" s="26" t="s">
        <v>26</v>
      </c>
      <c r="J28" s="27">
        <v>0</v>
      </c>
      <c r="K28" s="28">
        <v>0.08</v>
      </c>
      <c r="L28" s="27">
        <f>Tabla1[[#This Row],[Monto 1% u Aporte ]]*Tabla1[[#This Row],[Tasa Propuesta Administración OTIC]]</f>
        <v>0</v>
      </c>
      <c r="M28" s="26" t="s">
        <v>44</v>
      </c>
      <c r="N28" s="26">
        <v>2026</v>
      </c>
      <c r="O28" s="26" t="s">
        <v>75</v>
      </c>
      <c r="P28" s="11" t="s">
        <v>13</v>
      </c>
      <c r="Q28" s="27">
        <v>1000000</v>
      </c>
      <c r="R28" s="27">
        <f>Tabla1[[#This Row],[Aporte Ingresado]]-Tabla1[[#This Row],[Monto 1% u Aporte ]]</f>
        <v>1000000</v>
      </c>
      <c r="S28" s="27" t="s">
        <v>29</v>
      </c>
      <c r="T28" s="175" t="s">
        <v>970</v>
      </c>
      <c r="U28" s="26"/>
      <c r="V28" s="29"/>
      <c r="W28" s="148"/>
      <c r="X28" s="148"/>
      <c r="Y28" s="26"/>
      <c r="Z28" s="30"/>
    </row>
    <row r="29" spans="1:26" ht="15" hidden="1" customHeight="1" x14ac:dyDescent="0.2">
      <c r="A29" s="22">
        <f t="shared" si="0"/>
        <v>27</v>
      </c>
      <c r="B29" s="23" t="s">
        <v>639</v>
      </c>
      <c r="C29" s="24" t="s">
        <v>964</v>
      </c>
      <c r="D29" s="24" t="s">
        <v>1058</v>
      </c>
      <c r="E29" s="24" t="s">
        <v>1057</v>
      </c>
      <c r="F29" s="107"/>
      <c r="G29" s="26" t="s">
        <v>74</v>
      </c>
      <c r="H29" s="24" t="s">
        <v>20</v>
      </c>
      <c r="I29" s="26" t="s">
        <v>23</v>
      </c>
      <c r="J29" s="27">
        <v>20000000</v>
      </c>
      <c r="K29" s="28">
        <v>0.09</v>
      </c>
      <c r="L29" s="27">
        <f>Tabla1[[#This Row],[Monto 1% u Aporte ]]*Tabla1[[#This Row],[Tasa Propuesta Administración OTIC]]</f>
        <v>1800000</v>
      </c>
      <c r="M29" s="26" t="s">
        <v>44</v>
      </c>
      <c r="N29" s="26" t="s">
        <v>136</v>
      </c>
      <c r="O29" s="26" t="s">
        <v>28</v>
      </c>
      <c r="P29" s="11" t="s">
        <v>13</v>
      </c>
      <c r="Q29" s="27">
        <v>2088791</v>
      </c>
      <c r="R29" s="27">
        <f>Tabla1[[#This Row],[Aporte Ingresado]]-Tabla1[[#This Row],[Monto 1% u Aporte ]]</f>
        <v>-17911209</v>
      </c>
      <c r="S29" s="27" t="s">
        <v>29</v>
      </c>
      <c r="T29" s="175" t="s">
        <v>969</v>
      </c>
      <c r="U29" s="26" t="s">
        <v>99</v>
      </c>
      <c r="V29" s="26" t="s">
        <v>99</v>
      </c>
      <c r="W29" s="26"/>
      <c r="X29" s="26"/>
      <c r="Y29" s="26"/>
      <c r="Z29" s="30"/>
    </row>
    <row r="30" spans="1:26" ht="12" hidden="1" customHeight="1" x14ac:dyDescent="0.2">
      <c r="A30" s="22"/>
      <c r="B30" s="23" t="s">
        <v>1062</v>
      </c>
      <c r="C30" s="24" t="s">
        <v>964</v>
      </c>
      <c r="D30" s="24" t="s">
        <v>1060</v>
      </c>
      <c r="E30" s="107" t="s">
        <v>1056</v>
      </c>
      <c r="F30" s="107"/>
      <c r="G30" s="26" t="s">
        <v>86</v>
      </c>
      <c r="H30" s="24"/>
      <c r="I30" s="26" t="s">
        <v>27</v>
      </c>
      <c r="J30" s="27">
        <v>0</v>
      </c>
      <c r="K30" s="28"/>
      <c r="L30" s="27">
        <f>Tabla1[[#This Row],[Monto 1% u Aporte ]]*Tabla1[[#This Row],[Tasa Propuesta Administración OTIC]]</f>
        <v>0</v>
      </c>
      <c r="M30" s="26"/>
      <c r="N30" s="26"/>
      <c r="O30" s="26" t="s">
        <v>142</v>
      </c>
      <c r="P30" s="11" t="s">
        <v>13</v>
      </c>
      <c r="Q30" s="27">
        <v>456522</v>
      </c>
      <c r="R30" s="27">
        <f>Tabla1[[#This Row],[Aporte Ingresado]]-Tabla1[[#This Row],[Monto 1% u Aporte ]]</f>
        <v>456522</v>
      </c>
      <c r="S30" s="27"/>
      <c r="T30" s="175"/>
      <c r="U30" s="26"/>
      <c r="V30" s="29"/>
      <c r="W30" s="148"/>
      <c r="X30" s="148"/>
      <c r="Y30" s="26"/>
      <c r="Z30" s="30"/>
    </row>
    <row r="31" spans="1:26" ht="15" hidden="1" customHeight="1" x14ac:dyDescent="0.2">
      <c r="A31" s="22">
        <f t="shared" ref="A31:A62" si="1">A30+1</f>
        <v>1</v>
      </c>
      <c r="B31" s="23" t="s">
        <v>56</v>
      </c>
      <c r="C31" s="24" t="s">
        <v>871</v>
      </c>
      <c r="D31" s="24" t="s">
        <v>352</v>
      </c>
      <c r="E31" s="24" t="s">
        <v>352</v>
      </c>
      <c r="F31" s="141"/>
      <c r="G31" s="26" t="s">
        <v>87</v>
      </c>
      <c r="H31" s="181" t="s">
        <v>20</v>
      </c>
      <c r="I31" s="32" t="s">
        <v>26</v>
      </c>
      <c r="J31" s="33">
        <v>680000000</v>
      </c>
      <c r="K31" s="137">
        <v>1.7999999999999999E-2</v>
      </c>
      <c r="L31" s="33">
        <f>Tabla1[[#This Row],[Monto 1% u Aporte ]]*Tabla1[[#This Row],[Tasa Propuesta Administración OTIC]]</f>
        <v>12240000</v>
      </c>
      <c r="M31" s="26" t="s">
        <v>39</v>
      </c>
      <c r="N31" s="26" t="s">
        <v>36</v>
      </c>
      <c r="O31" s="32" t="s">
        <v>30</v>
      </c>
      <c r="P31" s="35" t="s">
        <v>95</v>
      </c>
      <c r="Q31" s="27">
        <v>0</v>
      </c>
      <c r="R31" s="33">
        <f>Tabla1[[#This Row],[Aporte Ingresado]]-Tabla1[[#This Row],[Monto 1% u Aporte ]]</f>
        <v>-680000000</v>
      </c>
      <c r="S31" s="33" t="s">
        <v>29</v>
      </c>
      <c r="T31" s="175" t="s">
        <v>969</v>
      </c>
      <c r="U31" s="26" t="s">
        <v>58</v>
      </c>
      <c r="V31" s="184" t="s">
        <v>57</v>
      </c>
      <c r="W31" s="32" t="s">
        <v>1077</v>
      </c>
      <c r="X31" s="32">
        <v>56997979711</v>
      </c>
      <c r="Y31" s="32" t="s">
        <v>1079</v>
      </c>
      <c r="Z31" s="36">
        <v>46036</v>
      </c>
    </row>
    <row r="32" spans="1:26" ht="12" customHeight="1" x14ac:dyDescent="0.2">
      <c r="A32" s="22">
        <f t="shared" si="1"/>
        <v>2</v>
      </c>
      <c r="B32" s="138" t="s">
        <v>128</v>
      </c>
      <c r="C32" s="24" t="s">
        <v>871</v>
      </c>
      <c r="D32" s="24" t="s">
        <v>352</v>
      </c>
      <c r="E32" s="24" t="s">
        <v>352</v>
      </c>
      <c r="F32" s="107"/>
      <c r="G32" s="26" t="s">
        <v>87</v>
      </c>
      <c r="H32" s="24" t="s">
        <v>20</v>
      </c>
      <c r="I32" s="32" t="s">
        <v>23</v>
      </c>
      <c r="J32" s="33">
        <v>500000000</v>
      </c>
      <c r="K32" s="34">
        <v>0.05</v>
      </c>
      <c r="L32" s="33">
        <f>Tabla1[[#This Row],[Monto 1% u Aporte ]]*Tabla1[[#This Row],[Tasa Propuesta Administración OTIC]]</f>
        <v>25000000</v>
      </c>
      <c r="M32" s="32" t="s">
        <v>44</v>
      </c>
      <c r="N32" s="32" t="s">
        <v>136</v>
      </c>
      <c r="O32" s="32" t="s">
        <v>30</v>
      </c>
      <c r="P32" s="35" t="s">
        <v>95</v>
      </c>
      <c r="Q32" s="27">
        <v>0</v>
      </c>
      <c r="R32" s="33">
        <f>Tabla1[[#This Row],[Aporte Ingresado]]-Tabla1[[#This Row],[Monto 1% u Aporte ]]</f>
        <v>-500000000</v>
      </c>
      <c r="S32" s="33" t="s">
        <v>29</v>
      </c>
      <c r="T32" s="175" t="s">
        <v>969</v>
      </c>
      <c r="U32" s="32" t="s">
        <v>130</v>
      </c>
      <c r="V32" s="29" t="s">
        <v>129</v>
      </c>
      <c r="W32" s="32" t="s">
        <v>1080</v>
      </c>
      <c r="X32" s="127"/>
      <c r="Y32" s="32" t="s">
        <v>1079</v>
      </c>
      <c r="Z32" s="36"/>
    </row>
    <row r="33" spans="1:26" ht="12" hidden="1" customHeight="1" x14ac:dyDescent="0.25">
      <c r="A33" s="22">
        <f t="shared" si="1"/>
        <v>3</v>
      </c>
      <c r="B33" s="23" t="s">
        <v>684</v>
      </c>
      <c r="C33" s="24" t="s">
        <v>872</v>
      </c>
      <c r="D33" s="24" t="s">
        <v>352</v>
      </c>
      <c r="E33" s="24" t="s">
        <v>352</v>
      </c>
      <c r="F33" s="107" t="s">
        <v>965</v>
      </c>
      <c r="G33" s="32" t="s">
        <v>873</v>
      </c>
      <c r="H33" s="181" t="s">
        <v>19</v>
      </c>
      <c r="I33" s="32" t="s">
        <v>23</v>
      </c>
      <c r="J33" s="33">
        <v>0</v>
      </c>
      <c r="K33" s="34">
        <v>0</v>
      </c>
      <c r="L33" s="33">
        <f>Tabla1[[#This Row],[Monto 1% u Aporte ]]*Tabla1[[#This Row],[Tasa Propuesta Administración OTIC]]</f>
        <v>0</v>
      </c>
      <c r="M33" s="26" t="s">
        <v>44</v>
      </c>
      <c r="N33" s="26" t="s">
        <v>29</v>
      </c>
      <c r="O33" s="32" t="s">
        <v>30</v>
      </c>
      <c r="P33" s="11" t="s">
        <v>96</v>
      </c>
      <c r="Q33" s="27">
        <v>0</v>
      </c>
      <c r="R33" s="33">
        <f>Tabla1[[#This Row],[Aporte Ingresado]]-Tabla1[[#This Row],[Monto 1% u Aporte ]]</f>
        <v>0</v>
      </c>
      <c r="S33" s="27" t="s">
        <v>29</v>
      </c>
      <c r="T33" s="175" t="s">
        <v>969</v>
      </c>
      <c r="U33" s="32" t="s">
        <v>687</v>
      </c>
      <c r="V33" s="139" t="s">
        <v>686</v>
      </c>
      <c r="W33" s="193"/>
      <c r="X33" s="193"/>
      <c r="Y33" s="32" t="s">
        <v>1075</v>
      </c>
      <c r="Z33" s="36"/>
    </row>
    <row r="34" spans="1:26" hidden="1" x14ac:dyDescent="0.2">
      <c r="A34" s="22">
        <f t="shared" si="1"/>
        <v>4</v>
      </c>
      <c r="B34" s="142" t="s">
        <v>944</v>
      </c>
      <c r="C34" s="24" t="s">
        <v>872</v>
      </c>
      <c r="D34" s="24"/>
      <c r="E34" s="107"/>
      <c r="F34" s="107"/>
      <c r="G34" s="32" t="s">
        <v>873</v>
      </c>
      <c r="H34" s="181" t="s">
        <v>20</v>
      </c>
      <c r="I34" s="32" t="s">
        <v>23</v>
      </c>
      <c r="J34" s="33">
        <v>0</v>
      </c>
      <c r="K34" s="34">
        <v>0</v>
      </c>
      <c r="L34" s="33">
        <f>Tabla1[[#This Row],[Monto 1% u Aporte ]]*Tabla1[[#This Row],[Tasa Propuesta Administración OTIC]]</f>
        <v>0</v>
      </c>
      <c r="M34" s="32" t="s">
        <v>44</v>
      </c>
      <c r="N34" s="32" t="s">
        <v>931</v>
      </c>
      <c r="O34" s="32" t="s">
        <v>30</v>
      </c>
      <c r="P34" s="35" t="s">
        <v>96</v>
      </c>
      <c r="Q34" s="27">
        <v>0</v>
      </c>
      <c r="R34" s="33">
        <f>Tabla1[[#This Row],[Aporte Ingresado]]-Tabla1[[#This Row],[Monto 1% u Aporte ]]</f>
        <v>0</v>
      </c>
      <c r="S34" s="27" t="s">
        <v>29</v>
      </c>
      <c r="T34" s="175" t="s">
        <v>969</v>
      </c>
      <c r="U34" s="32" t="s">
        <v>946</v>
      </c>
      <c r="V34" s="29" t="s">
        <v>945</v>
      </c>
      <c r="W34" s="127"/>
      <c r="X34" s="127"/>
      <c r="Y34" s="32"/>
      <c r="Z34" s="36"/>
    </row>
    <row r="35" spans="1:26" ht="12" hidden="1" customHeight="1" x14ac:dyDescent="0.2">
      <c r="A35" s="22">
        <f t="shared" si="1"/>
        <v>5</v>
      </c>
      <c r="B35" s="143" t="s">
        <v>766</v>
      </c>
      <c r="C35" s="24" t="s">
        <v>872</v>
      </c>
      <c r="D35" s="24" t="s">
        <v>352</v>
      </c>
      <c r="E35" s="24" t="s">
        <v>352</v>
      </c>
      <c r="F35" s="107" t="s">
        <v>971</v>
      </c>
      <c r="G35" s="32" t="s">
        <v>873</v>
      </c>
      <c r="H35" s="181"/>
      <c r="I35" s="32" t="s">
        <v>23</v>
      </c>
      <c r="J35" s="33">
        <v>0</v>
      </c>
      <c r="K35" s="34">
        <v>0</v>
      </c>
      <c r="L35" s="33">
        <f>Tabla1[[#This Row],[Monto 1% u Aporte ]]*Tabla1[[#This Row],[Tasa Propuesta Administración OTIC]]</f>
        <v>0</v>
      </c>
      <c r="M35" s="32" t="s">
        <v>44</v>
      </c>
      <c r="N35" s="181">
        <v>2026</v>
      </c>
      <c r="O35" s="32" t="s">
        <v>30</v>
      </c>
      <c r="P35" s="35" t="s">
        <v>96</v>
      </c>
      <c r="Q35" s="27">
        <v>0</v>
      </c>
      <c r="R35" s="33">
        <f>Tabla1[[#This Row],[Aporte Ingresado]]-Tabla1[[#This Row],[Monto 1% u Aporte ]]</f>
        <v>0</v>
      </c>
      <c r="S35" s="27" t="s">
        <v>29</v>
      </c>
      <c r="T35" s="175" t="s">
        <v>969</v>
      </c>
      <c r="U35" s="32" t="s">
        <v>993</v>
      </c>
      <c r="V35" s="184" t="s">
        <v>992</v>
      </c>
      <c r="W35" s="32" t="s">
        <v>994</v>
      </c>
      <c r="X35" s="32"/>
      <c r="Y35" s="32"/>
      <c r="Z35" s="36"/>
    </row>
    <row r="36" spans="1:26" hidden="1" x14ac:dyDescent="0.2">
      <c r="A36" s="22">
        <f t="shared" si="1"/>
        <v>6</v>
      </c>
      <c r="B36" s="142" t="s">
        <v>689</v>
      </c>
      <c r="C36" s="24" t="s">
        <v>872</v>
      </c>
      <c r="D36" s="24" t="s">
        <v>352</v>
      </c>
      <c r="E36" s="24" t="s">
        <v>352</v>
      </c>
      <c r="F36" s="107"/>
      <c r="G36" s="32" t="s">
        <v>873</v>
      </c>
      <c r="H36" s="181" t="s">
        <v>20</v>
      </c>
      <c r="I36" s="32" t="s">
        <v>23</v>
      </c>
      <c r="J36" s="33">
        <v>0</v>
      </c>
      <c r="K36" s="34">
        <v>0</v>
      </c>
      <c r="L36" s="33">
        <f>Tabla1[[#This Row],[Monto 1% u Aporte ]]*Tabla1[[#This Row],[Tasa Propuesta Administración OTIC]]</f>
        <v>0</v>
      </c>
      <c r="M36" s="32" t="s">
        <v>44</v>
      </c>
      <c r="N36" s="32" t="s">
        <v>29</v>
      </c>
      <c r="O36" s="32" t="s">
        <v>30</v>
      </c>
      <c r="P36" s="35" t="s">
        <v>96</v>
      </c>
      <c r="Q36" s="27">
        <v>0</v>
      </c>
      <c r="R36" s="33">
        <f>Tabla1[[#This Row],[Aporte Ingresado]]-Tabla1[[#This Row],[Monto 1% u Aporte ]]</f>
        <v>0</v>
      </c>
      <c r="S36" s="27" t="s">
        <v>29</v>
      </c>
      <c r="T36" s="175" t="s">
        <v>969</v>
      </c>
      <c r="U36" s="32" t="s">
        <v>693</v>
      </c>
      <c r="V36" s="127" t="s">
        <v>692</v>
      </c>
      <c r="W36" s="194"/>
      <c r="X36" s="194"/>
      <c r="Y36" s="189" t="s">
        <v>694</v>
      </c>
      <c r="Z36" s="36"/>
    </row>
    <row r="37" spans="1:26" ht="12" hidden="1" customHeight="1" x14ac:dyDescent="0.2">
      <c r="A37" s="22">
        <f t="shared" si="1"/>
        <v>7</v>
      </c>
      <c r="B37" s="142" t="s">
        <v>685</v>
      </c>
      <c r="C37" s="24" t="s">
        <v>872</v>
      </c>
      <c r="D37" s="24" t="s">
        <v>352</v>
      </c>
      <c r="E37" s="24" t="s">
        <v>352</v>
      </c>
      <c r="F37" s="107" t="s">
        <v>699</v>
      </c>
      <c r="G37" s="32" t="s">
        <v>873</v>
      </c>
      <c r="H37" s="181" t="s">
        <v>19</v>
      </c>
      <c r="I37" s="32" t="s">
        <v>23</v>
      </c>
      <c r="J37" s="33">
        <v>0</v>
      </c>
      <c r="K37" s="34">
        <v>0</v>
      </c>
      <c r="L37" s="33">
        <f>Tabla1[[#This Row],[Monto 1% u Aporte ]]*Tabla1[[#This Row],[Tasa Propuesta Administración OTIC]]</f>
        <v>0</v>
      </c>
      <c r="M37" s="32" t="s">
        <v>44</v>
      </c>
      <c r="N37" s="32" t="s">
        <v>29</v>
      </c>
      <c r="O37" s="32" t="s">
        <v>30</v>
      </c>
      <c r="P37" s="35" t="s">
        <v>96</v>
      </c>
      <c r="Q37" s="27">
        <v>0</v>
      </c>
      <c r="R37" s="33">
        <f>Tabla1[[#This Row],[Aporte Ingresado]]-Tabla1[[#This Row],[Monto 1% u Aporte ]]</f>
        <v>0</v>
      </c>
      <c r="S37" s="27" t="s">
        <v>29</v>
      </c>
      <c r="T37" s="175" t="s">
        <v>969</v>
      </c>
      <c r="U37" s="32" t="s">
        <v>702</v>
      </c>
      <c r="V37" s="127" t="s">
        <v>688</v>
      </c>
      <c r="W37" s="127"/>
      <c r="X37" s="127"/>
      <c r="Y37" s="32" t="s">
        <v>694</v>
      </c>
      <c r="Z37" s="36"/>
    </row>
    <row r="38" spans="1:26" ht="12" hidden="1" customHeight="1" x14ac:dyDescent="0.2">
      <c r="A38" s="22">
        <f t="shared" si="1"/>
        <v>8</v>
      </c>
      <c r="B38" s="142" t="s">
        <v>69</v>
      </c>
      <c r="C38" s="24" t="s">
        <v>872</v>
      </c>
      <c r="D38" s="24" t="s">
        <v>352</v>
      </c>
      <c r="E38" s="24" t="s">
        <v>352</v>
      </c>
      <c r="F38" s="24"/>
      <c r="G38" s="26" t="s">
        <v>873</v>
      </c>
      <c r="H38" s="181" t="s">
        <v>20</v>
      </c>
      <c r="I38" s="32" t="s">
        <v>23</v>
      </c>
      <c r="J38" s="33">
        <v>0</v>
      </c>
      <c r="K38" s="34">
        <v>0</v>
      </c>
      <c r="L38" s="33">
        <f>Tabla1[[#This Row],[Monto 1% u Aporte ]]*Tabla1[[#This Row],[Tasa Propuesta Administración OTIC]]</f>
        <v>0</v>
      </c>
      <c r="M38" s="32" t="s">
        <v>68</v>
      </c>
      <c r="N38" s="32" t="s">
        <v>36</v>
      </c>
      <c r="O38" s="32" t="s">
        <v>30</v>
      </c>
      <c r="P38" s="11" t="s">
        <v>96</v>
      </c>
      <c r="Q38" s="27">
        <v>0</v>
      </c>
      <c r="R38" s="33">
        <f>Tabla1[[#This Row],[Aporte Ingresado]]-Tabla1[[#This Row],[Monto 1% u Aporte ]]</f>
        <v>0</v>
      </c>
      <c r="S38" s="27" t="s">
        <v>29</v>
      </c>
      <c r="T38" s="24" t="s">
        <v>352</v>
      </c>
      <c r="U38" s="26" t="s">
        <v>1029</v>
      </c>
      <c r="V38" s="29" t="s">
        <v>65</v>
      </c>
      <c r="W38" s="127"/>
      <c r="X38" s="127"/>
      <c r="Y38" s="32"/>
      <c r="Z38" s="36">
        <v>46036</v>
      </c>
    </row>
    <row r="39" spans="1:26" ht="12" hidden="1" customHeight="1" x14ac:dyDescent="0.2">
      <c r="A39" s="22">
        <f t="shared" si="1"/>
        <v>9</v>
      </c>
      <c r="B39" s="143" t="s">
        <v>995</v>
      </c>
      <c r="C39" s="24" t="s">
        <v>872</v>
      </c>
      <c r="D39" s="24" t="s">
        <v>352</v>
      </c>
      <c r="E39" s="24" t="s">
        <v>352</v>
      </c>
      <c r="F39" s="107" t="s">
        <v>971</v>
      </c>
      <c r="G39" s="26" t="s">
        <v>873</v>
      </c>
      <c r="H39" s="181"/>
      <c r="I39" s="32" t="s">
        <v>23</v>
      </c>
      <c r="J39" s="33">
        <v>0</v>
      </c>
      <c r="K39" s="34">
        <v>0</v>
      </c>
      <c r="L39" s="33">
        <f>Tabla1[[#This Row],[Monto 1% u Aporte ]]*Tabla1[[#This Row],[Tasa Propuesta Administración OTIC]]</f>
        <v>0</v>
      </c>
      <c r="M39" s="32" t="s">
        <v>44</v>
      </c>
      <c r="N39" s="181">
        <v>2026</v>
      </c>
      <c r="O39" s="32" t="s">
        <v>30</v>
      </c>
      <c r="P39" s="11" t="s">
        <v>96</v>
      </c>
      <c r="Q39" s="27">
        <v>0</v>
      </c>
      <c r="R39" s="33">
        <f>Tabla1[[#This Row],[Aporte Ingresado]]-Tabla1[[#This Row],[Monto 1% u Aporte ]]</f>
        <v>0</v>
      </c>
      <c r="S39" s="27" t="s">
        <v>29</v>
      </c>
      <c r="T39" s="175" t="s">
        <v>969</v>
      </c>
      <c r="U39" s="26" t="s">
        <v>998</v>
      </c>
      <c r="V39" s="184" t="s">
        <v>996</v>
      </c>
      <c r="W39" s="32" t="s">
        <v>997</v>
      </c>
      <c r="X39" s="32"/>
      <c r="Y39" s="32"/>
      <c r="Z39" s="36"/>
    </row>
    <row r="40" spans="1:26" ht="12" hidden="1" customHeight="1" x14ac:dyDescent="0.2">
      <c r="A40" s="22">
        <f t="shared" si="1"/>
        <v>10</v>
      </c>
      <c r="B40" s="143" t="s">
        <v>995</v>
      </c>
      <c r="C40" s="24" t="s">
        <v>872</v>
      </c>
      <c r="D40" s="24" t="s">
        <v>352</v>
      </c>
      <c r="E40" s="24" t="s">
        <v>352</v>
      </c>
      <c r="F40" s="107" t="s">
        <v>971</v>
      </c>
      <c r="G40" s="32" t="s">
        <v>873</v>
      </c>
      <c r="H40" s="181"/>
      <c r="I40" s="32" t="s">
        <v>23</v>
      </c>
      <c r="J40" s="33">
        <v>0</v>
      </c>
      <c r="K40" s="34">
        <v>0</v>
      </c>
      <c r="L40" s="33">
        <f>Tabla1[[#This Row],[Monto 1% u Aporte ]]*Tabla1[[#This Row],[Tasa Propuesta Administración OTIC]]</f>
        <v>0</v>
      </c>
      <c r="M40" s="32" t="s">
        <v>44</v>
      </c>
      <c r="N40" s="32">
        <v>2026</v>
      </c>
      <c r="O40" s="32" t="s">
        <v>30</v>
      </c>
      <c r="P40" s="35" t="s">
        <v>96</v>
      </c>
      <c r="Q40" s="27">
        <v>0</v>
      </c>
      <c r="R40" s="33">
        <f>Tabla1[[#This Row],[Aporte Ingresado]]-Tabla1[[#This Row],[Monto 1% u Aporte ]]</f>
        <v>0</v>
      </c>
      <c r="S40" s="27" t="s">
        <v>29</v>
      </c>
      <c r="T40" s="175" t="s">
        <v>969</v>
      </c>
      <c r="U40" s="26" t="s">
        <v>1009</v>
      </c>
      <c r="V40" s="32" t="s">
        <v>1011</v>
      </c>
      <c r="W40" s="32" t="s">
        <v>1010</v>
      </c>
      <c r="X40" s="32"/>
      <c r="Y40" s="32"/>
      <c r="Z40" s="36"/>
    </row>
    <row r="41" spans="1:26" hidden="1" x14ac:dyDescent="0.2">
      <c r="A41" s="22">
        <f t="shared" si="1"/>
        <v>11</v>
      </c>
      <c r="B41" s="143" t="s">
        <v>995</v>
      </c>
      <c r="C41" s="24" t="s">
        <v>872</v>
      </c>
      <c r="D41" s="24" t="s">
        <v>352</v>
      </c>
      <c r="E41" s="24" t="s">
        <v>352</v>
      </c>
      <c r="F41" s="107" t="s">
        <v>971</v>
      </c>
      <c r="G41" s="26" t="s">
        <v>873</v>
      </c>
      <c r="H41" s="24"/>
      <c r="I41" s="26" t="s">
        <v>23</v>
      </c>
      <c r="J41" s="27">
        <v>0</v>
      </c>
      <c r="K41" s="28">
        <v>0</v>
      </c>
      <c r="L41" s="27">
        <f>Tabla1[[#This Row],[Monto 1% u Aporte ]]*Tabla1[[#This Row],[Tasa Propuesta Administración OTIC]]</f>
        <v>0</v>
      </c>
      <c r="M41" s="26" t="s">
        <v>44</v>
      </c>
      <c r="N41" s="26">
        <v>2026</v>
      </c>
      <c r="O41" s="26" t="s">
        <v>30</v>
      </c>
      <c r="P41" s="11" t="s">
        <v>96</v>
      </c>
      <c r="Q41" s="27">
        <v>0</v>
      </c>
      <c r="R41" s="27">
        <f>Tabla1[[#This Row],[Aporte Ingresado]]-Tabla1[[#This Row],[Monto 1% u Aporte ]]</f>
        <v>0</v>
      </c>
      <c r="S41" s="27" t="s">
        <v>29</v>
      </c>
      <c r="T41" s="175" t="s">
        <v>969</v>
      </c>
      <c r="U41" s="26" t="s">
        <v>998</v>
      </c>
      <c r="V41" s="26" t="s">
        <v>996</v>
      </c>
      <c r="W41" s="26" t="s">
        <v>997</v>
      </c>
      <c r="X41" s="26"/>
      <c r="Y41" s="26"/>
      <c r="Z41" s="30"/>
    </row>
    <row r="42" spans="1:26" ht="12" hidden="1" customHeight="1" x14ac:dyDescent="0.25">
      <c r="A42" s="22">
        <f t="shared" si="1"/>
        <v>12</v>
      </c>
      <c r="B42" s="142" t="s">
        <v>723</v>
      </c>
      <c r="C42" s="24" t="s">
        <v>872</v>
      </c>
      <c r="D42" s="24" t="s">
        <v>352</v>
      </c>
      <c r="E42" s="24" t="s">
        <v>352</v>
      </c>
      <c r="F42" s="107"/>
      <c r="G42" s="26" t="s">
        <v>873</v>
      </c>
      <c r="H42" s="24" t="s">
        <v>20</v>
      </c>
      <c r="I42" s="26" t="s">
        <v>23</v>
      </c>
      <c r="J42" s="27">
        <v>0</v>
      </c>
      <c r="K42" s="28">
        <v>0</v>
      </c>
      <c r="L42" s="27">
        <f>Tabla1[[#This Row],[Monto 1% u Aporte ]]*Tabla1[[#This Row],[Tasa Propuesta Administración OTIC]]</f>
        <v>0</v>
      </c>
      <c r="M42" s="26" t="s">
        <v>40</v>
      </c>
      <c r="N42" s="26" t="s">
        <v>29</v>
      </c>
      <c r="O42" s="26" t="s">
        <v>30</v>
      </c>
      <c r="P42" s="11" t="s">
        <v>96</v>
      </c>
      <c r="Q42" s="27">
        <v>0</v>
      </c>
      <c r="R42" s="27">
        <f>Tabla1[[#This Row],[Aporte Ingresado]]-Tabla1[[#This Row],[Monto 1% u Aporte ]]</f>
        <v>0</v>
      </c>
      <c r="S42" s="27" t="s">
        <v>29</v>
      </c>
      <c r="T42" s="175" t="s">
        <v>969</v>
      </c>
      <c r="U42" s="26" t="s">
        <v>942</v>
      </c>
      <c r="V42" s="136" t="s">
        <v>941</v>
      </c>
      <c r="W42" s="136"/>
      <c r="X42" s="136"/>
      <c r="Y42" s="26"/>
      <c r="Z42" s="30"/>
    </row>
    <row r="43" spans="1:26" ht="12" hidden="1" customHeight="1" x14ac:dyDescent="0.2">
      <c r="A43" s="22">
        <f t="shared" si="1"/>
        <v>13</v>
      </c>
      <c r="B43" s="180" t="s">
        <v>698</v>
      </c>
      <c r="C43" s="24" t="s">
        <v>872</v>
      </c>
      <c r="D43" s="24" t="s">
        <v>352</v>
      </c>
      <c r="E43" s="24" t="s">
        <v>352</v>
      </c>
      <c r="F43" s="107"/>
      <c r="G43" s="32" t="s">
        <v>873</v>
      </c>
      <c r="H43" s="181" t="s">
        <v>20</v>
      </c>
      <c r="I43" s="32" t="s">
        <v>23</v>
      </c>
      <c r="J43" s="33">
        <v>0</v>
      </c>
      <c r="K43" s="34">
        <v>0</v>
      </c>
      <c r="L43" s="33">
        <f>Tabla1[[#This Row],[Monto 1% u Aporte ]]*Tabla1[[#This Row],[Tasa Propuesta Administración OTIC]]</f>
        <v>0</v>
      </c>
      <c r="M43" s="32" t="s">
        <v>43</v>
      </c>
      <c r="N43" s="32" t="s">
        <v>29</v>
      </c>
      <c r="O43" s="32" t="s">
        <v>30</v>
      </c>
      <c r="P43" s="35" t="s">
        <v>96</v>
      </c>
      <c r="Q43" s="27">
        <v>0</v>
      </c>
      <c r="R43" s="33">
        <f>Tabla1[[#This Row],[Aporte Ingresado]]-Tabla1[[#This Row],[Monto 1% u Aporte ]]</f>
        <v>0</v>
      </c>
      <c r="S43" s="27" t="s">
        <v>29</v>
      </c>
      <c r="T43" s="24" t="s">
        <v>352</v>
      </c>
      <c r="U43" s="32" t="s">
        <v>352</v>
      </c>
      <c r="V43" s="26" t="s">
        <v>352</v>
      </c>
      <c r="W43" s="32"/>
      <c r="X43" s="32"/>
      <c r="Y43" s="32"/>
      <c r="Z43" s="36"/>
    </row>
    <row r="44" spans="1:26" ht="15" hidden="1" customHeight="1" x14ac:dyDescent="0.2">
      <c r="A44" s="22">
        <f t="shared" si="1"/>
        <v>14</v>
      </c>
      <c r="B44" s="142" t="s">
        <v>943</v>
      </c>
      <c r="C44" s="24" t="s">
        <v>872</v>
      </c>
      <c r="D44" s="24" t="s">
        <v>352</v>
      </c>
      <c r="E44" s="24" t="s">
        <v>352</v>
      </c>
      <c r="F44" s="107" t="s">
        <v>699</v>
      </c>
      <c r="G44" s="32" t="s">
        <v>873</v>
      </c>
      <c r="H44" s="181" t="s">
        <v>19</v>
      </c>
      <c r="I44" s="32" t="s">
        <v>23</v>
      </c>
      <c r="J44" s="33">
        <v>0</v>
      </c>
      <c r="K44" s="34">
        <v>0</v>
      </c>
      <c r="L44" s="33">
        <f>Tabla1[[#This Row],[Monto 1% u Aporte ]]*Tabla1[[#This Row],[Tasa Propuesta Administración OTIC]]</f>
        <v>0</v>
      </c>
      <c r="M44" s="32" t="s">
        <v>44</v>
      </c>
      <c r="N44" s="32" t="s">
        <v>29</v>
      </c>
      <c r="O44" s="32" t="s">
        <v>30</v>
      </c>
      <c r="P44" s="35" t="s">
        <v>96</v>
      </c>
      <c r="Q44" s="27">
        <v>0</v>
      </c>
      <c r="R44" s="33">
        <f>Tabla1[[#This Row],[Aporte Ingresado]]-Tabla1[[#This Row],[Monto 1% u Aporte ]]</f>
        <v>0</v>
      </c>
      <c r="S44" s="27" t="s">
        <v>29</v>
      </c>
      <c r="T44" s="175" t="s">
        <v>969</v>
      </c>
      <c r="U44" s="32" t="s">
        <v>960</v>
      </c>
      <c r="V44" s="29" t="s">
        <v>959</v>
      </c>
      <c r="W44" s="127"/>
      <c r="X44" s="127"/>
      <c r="Y44" s="32"/>
      <c r="Z44" s="36"/>
    </row>
    <row r="45" spans="1:26" ht="15" hidden="1" customHeight="1" x14ac:dyDescent="0.2">
      <c r="A45" s="22">
        <f t="shared" si="1"/>
        <v>15</v>
      </c>
      <c r="B45" s="143" t="s">
        <v>55</v>
      </c>
      <c r="C45" s="24" t="s">
        <v>872</v>
      </c>
      <c r="D45" s="24" t="s">
        <v>352</v>
      </c>
      <c r="E45" s="24" t="s">
        <v>352</v>
      </c>
      <c r="F45" s="107"/>
      <c r="G45" s="32" t="s">
        <v>873</v>
      </c>
      <c r="H45" s="181" t="s">
        <v>20</v>
      </c>
      <c r="I45" s="32" t="s">
        <v>23</v>
      </c>
      <c r="J45" s="33">
        <v>0</v>
      </c>
      <c r="K45" s="137">
        <v>0</v>
      </c>
      <c r="L45" s="33">
        <f>Tabla1[[#This Row],[Monto 1% u Aporte ]]*Tabla1[[#This Row],[Tasa Propuesta Administración OTIC]]</f>
        <v>0</v>
      </c>
      <c r="M45" s="32" t="s">
        <v>44</v>
      </c>
      <c r="N45" s="32" t="s">
        <v>36</v>
      </c>
      <c r="O45" s="32" t="s">
        <v>30</v>
      </c>
      <c r="P45" s="35" t="s">
        <v>96</v>
      </c>
      <c r="Q45" s="27">
        <v>0</v>
      </c>
      <c r="R45" s="33">
        <f>Tabla1[[#This Row],[Aporte Ingresado]]-Tabla1[[#This Row],[Monto 1% u Aporte ]]</f>
        <v>0</v>
      </c>
      <c r="S45" s="27" t="s">
        <v>29</v>
      </c>
      <c r="T45" s="24" t="s">
        <v>352</v>
      </c>
      <c r="U45" s="32" t="s">
        <v>352</v>
      </c>
      <c r="V45" s="26" t="s">
        <v>352</v>
      </c>
      <c r="W45" s="32"/>
      <c r="X45" s="32"/>
      <c r="Y45" s="32"/>
      <c r="Z45" s="36"/>
    </row>
    <row r="46" spans="1:26" ht="12" hidden="1" customHeight="1" x14ac:dyDescent="0.2">
      <c r="A46" s="22">
        <f t="shared" si="1"/>
        <v>16</v>
      </c>
      <c r="B46" s="143" t="s">
        <v>1003</v>
      </c>
      <c r="C46" s="24" t="s">
        <v>872</v>
      </c>
      <c r="D46" s="24" t="s">
        <v>352</v>
      </c>
      <c r="E46" s="24" t="s">
        <v>352</v>
      </c>
      <c r="F46" s="107" t="s">
        <v>971</v>
      </c>
      <c r="G46" s="26" t="s">
        <v>873</v>
      </c>
      <c r="H46" s="24"/>
      <c r="I46" s="26" t="s">
        <v>23</v>
      </c>
      <c r="J46" s="27">
        <v>0</v>
      </c>
      <c r="K46" s="28">
        <v>0</v>
      </c>
      <c r="L46" s="27">
        <f>Tabla1[[#This Row],[Monto 1% u Aporte ]]*Tabla1[[#This Row],[Tasa Propuesta Administración OTIC]]</f>
        <v>0</v>
      </c>
      <c r="M46" s="26" t="s">
        <v>38</v>
      </c>
      <c r="N46" s="26">
        <v>2026</v>
      </c>
      <c r="O46" s="26" t="s">
        <v>30</v>
      </c>
      <c r="P46" s="11" t="s">
        <v>96</v>
      </c>
      <c r="Q46" s="27">
        <v>0</v>
      </c>
      <c r="R46" s="27">
        <f>Tabla1[[#This Row],[Aporte Ingresado]]-Tabla1[[#This Row],[Monto 1% u Aporte ]]</f>
        <v>0</v>
      </c>
      <c r="S46" s="27" t="s">
        <v>29</v>
      </c>
      <c r="T46" s="175" t="s">
        <v>969</v>
      </c>
      <c r="U46" s="26" t="s">
        <v>1006</v>
      </c>
      <c r="V46" s="184" t="s">
        <v>1004</v>
      </c>
      <c r="W46" s="26" t="s">
        <v>1005</v>
      </c>
      <c r="X46" s="26"/>
      <c r="Y46" s="26"/>
      <c r="Z46" s="30"/>
    </row>
    <row r="47" spans="1:26" ht="15" hidden="1" customHeight="1" x14ac:dyDescent="0.2">
      <c r="A47" s="22">
        <f t="shared" si="1"/>
        <v>17</v>
      </c>
      <c r="B47" s="138" t="s">
        <v>1003</v>
      </c>
      <c r="C47" s="24" t="s">
        <v>872</v>
      </c>
      <c r="D47" s="24" t="s">
        <v>352</v>
      </c>
      <c r="E47" s="24" t="s">
        <v>352</v>
      </c>
      <c r="F47" s="107"/>
      <c r="G47" s="26" t="s">
        <v>873</v>
      </c>
      <c r="H47" s="24"/>
      <c r="I47" s="26" t="s">
        <v>23</v>
      </c>
      <c r="J47" s="27">
        <v>0</v>
      </c>
      <c r="K47" s="28">
        <v>0</v>
      </c>
      <c r="L47" s="27">
        <f>Tabla1[[#This Row],[Monto 1% u Aporte ]]*Tabla1[[#This Row],[Tasa Propuesta Administración OTIC]]</f>
        <v>0</v>
      </c>
      <c r="M47" s="26" t="s">
        <v>38</v>
      </c>
      <c r="N47" s="26">
        <v>2026</v>
      </c>
      <c r="O47" s="26" t="s">
        <v>30</v>
      </c>
      <c r="P47" s="11" t="s">
        <v>96</v>
      </c>
      <c r="Q47" s="27">
        <v>0</v>
      </c>
      <c r="R47" s="27">
        <f>Tabla1[[#This Row],[Aporte Ingresado]]-Tabla1[[#This Row],[Monto 1% u Aporte ]]</f>
        <v>0</v>
      </c>
      <c r="S47" s="27" t="s">
        <v>29</v>
      </c>
      <c r="T47" s="175" t="s">
        <v>969</v>
      </c>
      <c r="U47" s="26" t="s">
        <v>1008</v>
      </c>
      <c r="V47" s="184" t="s">
        <v>1007</v>
      </c>
      <c r="W47" s="26"/>
      <c r="X47" s="26"/>
      <c r="Y47" s="26"/>
      <c r="Z47" s="30"/>
    </row>
    <row r="48" spans="1:26" ht="12" hidden="1" customHeight="1" x14ac:dyDescent="0.2">
      <c r="A48" s="22">
        <f t="shared" si="1"/>
        <v>18</v>
      </c>
      <c r="B48" s="138" t="s">
        <v>1000</v>
      </c>
      <c r="C48" s="24" t="s">
        <v>872</v>
      </c>
      <c r="D48" s="24" t="s">
        <v>352</v>
      </c>
      <c r="E48" s="24" t="s">
        <v>352</v>
      </c>
      <c r="F48" s="107" t="s">
        <v>971</v>
      </c>
      <c r="G48" s="26" t="s">
        <v>873</v>
      </c>
      <c r="H48" s="24"/>
      <c r="I48" s="26" t="s">
        <v>23</v>
      </c>
      <c r="J48" s="27">
        <v>0</v>
      </c>
      <c r="K48" s="28">
        <v>0</v>
      </c>
      <c r="L48" s="27">
        <f>Tabla1[[#This Row],[Monto 1% u Aporte ]]*Tabla1[[#This Row],[Tasa Propuesta Administración OTIC]]</f>
        <v>0</v>
      </c>
      <c r="M48" s="26" t="s">
        <v>44</v>
      </c>
      <c r="N48" s="26">
        <v>2026</v>
      </c>
      <c r="O48" s="26" t="s">
        <v>30</v>
      </c>
      <c r="P48" s="11" t="s">
        <v>96</v>
      </c>
      <c r="Q48" s="27">
        <v>0</v>
      </c>
      <c r="R48" s="27">
        <f>Tabla1[[#This Row],[Aporte Ingresado]]-Tabla1[[#This Row],[Monto 1% u Aporte ]]</f>
        <v>0</v>
      </c>
      <c r="S48" s="27" t="s">
        <v>29</v>
      </c>
      <c r="T48" s="175" t="s">
        <v>969</v>
      </c>
      <c r="U48" s="26" t="s">
        <v>999</v>
      </c>
      <c r="V48" s="184" t="s">
        <v>1001</v>
      </c>
      <c r="W48" s="26" t="s">
        <v>1002</v>
      </c>
      <c r="X48" s="26"/>
      <c r="Y48" s="26"/>
      <c r="Z48" s="30"/>
    </row>
    <row r="49" spans="1:26" ht="12" hidden="1" customHeight="1" x14ac:dyDescent="0.2">
      <c r="A49" s="22">
        <f t="shared" si="1"/>
        <v>19</v>
      </c>
      <c r="B49" s="23" t="s">
        <v>934</v>
      </c>
      <c r="C49" s="24" t="s">
        <v>872</v>
      </c>
      <c r="D49" s="24"/>
      <c r="E49" s="24"/>
      <c r="F49" s="107"/>
      <c r="G49" s="26" t="s">
        <v>873</v>
      </c>
      <c r="H49" s="24" t="s">
        <v>20</v>
      </c>
      <c r="I49" s="26" t="s">
        <v>27</v>
      </c>
      <c r="J49" s="27">
        <v>0</v>
      </c>
      <c r="K49" s="28">
        <v>0</v>
      </c>
      <c r="L49" s="27">
        <f>Tabla1[[#This Row],[Monto 1% u Aporte ]]*Tabla1[[#This Row],[Tasa Propuesta Administración OTIC]]</f>
        <v>0</v>
      </c>
      <c r="M49" s="32" t="s">
        <v>44</v>
      </c>
      <c r="N49" s="26" t="s">
        <v>931</v>
      </c>
      <c r="O49" s="26" t="s">
        <v>30</v>
      </c>
      <c r="P49" s="11" t="s">
        <v>96</v>
      </c>
      <c r="Q49" s="27">
        <v>0</v>
      </c>
      <c r="R49" s="27">
        <f>Tabla1[[#This Row],[Aporte Ingresado]]-Tabla1[[#This Row],[Monto 1% u Aporte ]]</f>
        <v>0</v>
      </c>
      <c r="S49" s="27" t="s">
        <v>29</v>
      </c>
      <c r="T49" s="175" t="s">
        <v>969</v>
      </c>
      <c r="U49" s="26" t="s">
        <v>935</v>
      </c>
      <c r="V49" s="29" t="s">
        <v>936</v>
      </c>
      <c r="W49" s="29"/>
      <c r="X49" s="29"/>
      <c r="Y49" s="26" t="s">
        <v>940</v>
      </c>
      <c r="Z49" s="30"/>
    </row>
    <row r="50" spans="1:26" ht="12" hidden="1" customHeight="1" x14ac:dyDescent="0.2">
      <c r="A50" s="22">
        <f t="shared" si="1"/>
        <v>20</v>
      </c>
      <c r="B50" s="138" t="s">
        <v>1012</v>
      </c>
      <c r="C50" s="24" t="s">
        <v>872</v>
      </c>
      <c r="D50" s="24" t="s">
        <v>352</v>
      </c>
      <c r="E50" s="24" t="s">
        <v>352</v>
      </c>
      <c r="F50" s="107" t="s">
        <v>971</v>
      </c>
      <c r="G50" s="26" t="s">
        <v>873</v>
      </c>
      <c r="H50" s="24"/>
      <c r="I50" s="32" t="s">
        <v>23</v>
      </c>
      <c r="J50" s="33">
        <v>0</v>
      </c>
      <c r="K50" s="34">
        <v>0</v>
      </c>
      <c r="L50" s="33">
        <f>Tabla1[[#This Row],[Monto 1% u Aporte ]]*Tabla1[[#This Row],[Tasa Propuesta Administración OTIC]]</f>
        <v>0</v>
      </c>
      <c r="M50" s="32" t="s">
        <v>44</v>
      </c>
      <c r="N50" s="32">
        <v>2026</v>
      </c>
      <c r="O50" s="26" t="s">
        <v>30</v>
      </c>
      <c r="P50" s="11" t="s">
        <v>96</v>
      </c>
      <c r="Q50" s="27">
        <v>0</v>
      </c>
      <c r="R50" s="33">
        <f>Tabla1[[#This Row],[Aporte Ingresado]]-Tabla1[[#This Row],[Monto 1% u Aporte ]]</f>
        <v>0</v>
      </c>
      <c r="S50" s="27" t="s">
        <v>29</v>
      </c>
      <c r="T50" s="175" t="s">
        <v>969</v>
      </c>
      <c r="U50" s="32" t="s">
        <v>1015</v>
      </c>
      <c r="V50" s="26" t="s">
        <v>1014</v>
      </c>
      <c r="W50" s="32" t="s">
        <v>1013</v>
      </c>
      <c r="X50" s="32"/>
      <c r="Y50" s="32"/>
      <c r="Z50" s="36"/>
    </row>
    <row r="51" spans="1:26" hidden="1" x14ac:dyDescent="0.2">
      <c r="A51" s="22">
        <f t="shared" si="1"/>
        <v>21</v>
      </c>
      <c r="B51" s="23" t="s">
        <v>937</v>
      </c>
      <c r="C51" s="24" t="s">
        <v>872</v>
      </c>
      <c r="D51" s="24"/>
      <c r="E51" s="24"/>
      <c r="F51" s="22"/>
      <c r="G51" s="26" t="s">
        <v>873</v>
      </c>
      <c r="H51" s="24" t="s">
        <v>20</v>
      </c>
      <c r="I51" s="32" t="s">
        <v>27</v>
      </c>
      <c r="J51" s="33">
        <v>0</v>
      </c>
      <c r="K51" s="34">
        <v>0</v>
      </c>
      <c r="L51" s="33">
        <f>Tabla1[[#This Row],[Monto 1% u Aporte ]]*Tabla1[[#This Row],[Tasa Propuesta Administración OTIC]]</f>
        <v>0</v>
      </c>
      <c r="M51" s="32" t="s">
        <v>44</v>
      </c>
      <c r="N51" s="32" t="s">
        <v>931</v>
      </c>
      <c r="O51" s="26" t="s">
        <v>30</v>
      </c>
      <c r="P51" s="11" t="s">
        <v>96</v>
      </c>
      <c r="Q51" s="27">
        <v>0</v>
      </c>
      <c r="R51" s="33">
        <f>Tabla1[[#This Row],[Aporte Ingresado]]-Tabla1[[#This Row],[Monto 1% u Aporte ]]</f>
        <v>0</v>
      </c>
      <c r="S51" s="27" t="s">
        <v>29</v>
      </c>
      <c r="T51" s="175" t="s">
        <v>969</v>
      </c>
      <c r="U51" s="32" t="s">
        <v>938</v>
      </c>
      <c r="V51" s="29" t="s">
        <v>939</v>
      </c>
      <c r="W51" s="127"/>
      <c r="X51" s="127"/>
      <c r="Y51" s="32" t="s">
        <v>940</v>
      </c>
      <c r="Z51" s="36"/>
    </row>
    <row r="52" spans="1:26" hidden="1" x14ac:dyDescent="0.2">
      <c r="A52" s="22">
        <f t="shared" si="1"/>
        <v>22</v>
      </c>
      <c r="B52" s="23" t="s">
        <v>695</v>
      </c>
      <c r="C52" s="24" t="s">
        <v>872</v>
      </c>
      <c r="D52" s="24" t="s">
        <v>352</v>
      </c>
      <c r="E52" s="24" t="s">
        <v>352</v>
      </c>
      <c r="F52" s="107"/>
      <c r="G52" s="26" t="s">
        <v>873</v>
      </c>
      <c r="H52" s="24" t="s">
        <v>20</v>
      </c>
      <c r="I52" s="26" t="s">
        <v>23</v>
      </c>
      <c r="J52" s="27">
        <v>0</v>
      </c>
      <c r="K52" s="28">
        <v>0</v>
      </c>
      <c r="L52" s="27">
        <f>Tabla1[[#This Row],[Monto 1% u Aporte ]]*Tabla1[[#This Row],[Tasa Propuesta Administración OTIC]]</f>
        <v>0</v>
      </c>
      <c r="M52" s="26" t="s">
        <v>44</v>
      </c>
      <c r="N52" s="32" t="s">
        <v>29</v>
      </c>
      <c r="O52" s="26" t="s">
        <v>30</v>
      </c>
      <c r="P52" s="11" t="s">
        <v>96</v>
      </c>
      <c r="Q52" s="27">
        <v>0</v>
      </c>
      <c r="R52" s="27">
        <f>Tabla1[[#This Row],[Aporte Ingresado]]-Tabla1[[#This Row],[Monto 1% u Aporte ]]</f>
        <v>0</v>
      </c>
      <c r="S52" s="27" t="s">
        <v>29</v>
      </c>
      <c r="T52" s="175" t="s">
        <v>969</v>
      </c>
      <c r="U52" s="26" t="s">
        <v>696</v>
      </c>
      <c r="V52" s="26" t="s">
        <v>697</v>
      </c>
      <c r="W52" s="26"/>
      <c r="X52" s="26"/>
      <c r="Y52" s="26"/>
      <c r="Z52" s="30"/>
    </row>
    <row r="53" spans="1:26" hidden="1" x14ac:dyDescent="0.2">
      <c r="A53" s="22">
        <f t="shared" si="1"/>
        <v>23</v>
      </c>
      <c r="B53" s="23" t="s">
        <v>472</v>
      </c>
      <c r="C53" s="24" t="s">
        <v>872</v>
      </c>
      <c r="D53" s="24" t="s">
        <v>352</v>
      </c>
      <c r="E53" s="24" t="s">
        <v>352</v>
      </c>
      <c r="F53" s="107"/>
      <c r="G53" s="32" t="s">
        <v>873</v>
      </c>
      <c r="H53" s="181"/>
      <c r="I53" s="32" t="s">
        <v>23</v>
      </c>
      <c r="J53" s="27">
        <v>8500000</v>
      </c>
      <c r="K53" s="28">
        <v>0.1</v>
      </c>
      <c r="L53" s="27">
        <f>Tabla1[[#This Row],[Monto 1% u Aporte ]]*Tabla1[[#This Row],[Tasa Propuesta Administración OTIC]]</f>
        <v>850000</v>
      </c>
      <c r="M53" s="32" t="s">
        <v>44</v>
      </c>
      <c r="N53" s="24">
        <v>2025</v>
      </c>
      <c r="O53" s="26" t="s">
        <v>30</v>
      </c>
      <c r="P53" s="11" t="s">
        <v>96</v>
      </c>
      <c r="Q53" s="27">
        <v>0</v>
      </c>
      <c r="R53" s="27">
        <f>Tabla1[[#This Row],[Aporte Ingresado]]-Tabla1[[#This Row],[Monto 1% u Aporte ]]</f>
        <v>-8500000</v>
      </c>
      <c r="S53" s="27" t="s">
        <v>29</v>
      </c>
      <c r="T53" s="175" t="s">
        <v>969</v>
      </c>
      <c r="U53" s="26" t="s">
        <v>473</v>
      </c>
      <c r="V53" s="184" t="s">
        <v>474</v>
      </c>
      <c r="W53" s="26"/>
      <c r="X53" s="26"/>
      <c r="Y53" s="26"/>
      <c r="Z53" s="30"/>
    </row>
    <row r="54" spans="1:26" ht="15" hidden="1" customHeight="1" x14ac:dyDescent="0.2">
      <c r="A54" s="22">
        <f t="shared" si="1"/>
        <v>24</v>
      </c>
      <c r="B54" s="23" t="s">
        <v>472</v>
      </c>
      <c r="C54" s="24" t="s">
        <v>872</v>
      </c>
      <c r="D54" s="24" t="s">
        <v>352</v>
      </c>
      <c r="E54" s="24" t="s">
        <v>352</v>
      </c>
      <c r="F54" s="107" t="s">
        <v>1048</v>
      </c>
      <c r="G54" s="32" t="s">
        <v>873</v>
      </c>
      <c r="H54" s="181" t="s">
        <v>19</v>
      </c>
      <c r="I54" s="32" t="s">
        <v>23</v>
      </c>
      <c r="J54" s="33">
        <v>0</v>
      </c>
      <c r="K54" s="34">
        <v>0</v>
      </c>
      <c r="L54" s="33">
        <f>Tabla1[[#This Row],[Monto 1% u Aporte ]]*Tabla1[[#This Row],[Tasa Propuesta Administración OTIC]]</f>
        <v>0</v>
      </c>
      <c r="M54" s="32" t="s">
        <v>44</v>
      </c>
      <c r="N54" s="181">
        <v>2025</v>
      </c>
      <c r="O54" s="26" t="s">
        <v>30</v>
      </c>
      <c r="P54" s="11" t="s">
        <v>96</v>
      </c>
      <c r="Q54" s="27">
        <v>0</v>
      </c>
      <c r="R54" s="33">
        <f>Tabla1[[#This Row],[Aporte Ingresado]]-Tabla1[[#This Row],[Monto 1% u Aporte ]]</f>
        <v>0</v>
      </c>
      <c r="S54" s="27" t="s">
        <v>29</v>
      </c>
      <c r="T54" s="175" t="s">
        <v>969</v>
      </c>
      <c r="U54" s="26" t="s">
        <v>1051</v>
      </c>
      <c r="V54" s="185" t="s">
        <v>1053</v>
      </c>
      <c r="W54" s="148" t="s">
        <v>1049</v>
      </c>
      <c r="X54" s="190"/>
      <c r="Y54" s="32"/>
      <c r="Z54" s="36"/>
    </row>
    <row r="55" spans="1:26" hidden="1" x14ac:dyDescent="0.2">
      <c r="A55" s="22">
        <f t="shared" si="1"/>
        <v>25</v>
      </c>
      <c r="B55" s="23" t="s">
        <v>472</v>
      </c>
      <c r="C55" s="24" t="s">
        <v>872</v>
      </c>
      <c r="D55" s="24" t="s">
        <v>352</v>
      </c>
      <c r="E55" s="24" t="s">
        <v>352</v>
      </c>
      <c r="F55" s="107" t="s">
        <v>1048</v>
      </c>
      <c r="G55" s="32" t="s">
        <v>873</v>
      </c>
      <c r="H55" s="181" t="s">
        <v>19</v>
      </c>
      <c r="I55" s="32" t="s">
        <v>23</v>
      </c>
      <c r="J55" s="33">
        <v>0</v>
      </c>
      <c r="K55" s="34">
        <v>0</v>
      </c>
      <c r="L55" s="33">
        <f>Tabla1[[#This Row],[Monto 1% u Aporte ]]*Tabla1[[#This Row],[Tasa Propuesta Administración OTIC]]</f>
        <v>0</v>
      </c>
      <c r="M55" s="32" t="s">
        <v>44</v>
      </c>
      <c r="N55" s="181">
        <v>2025</v>
      </c>
      <c r="O55" s="32" t="s">
        <v>30</v>
      </c>
      <c r="P55" s="11" t="s">
        <v>96</v>
      </c>
      <c r="Q55" s="27">
        <v>0</v>
      </c>
      <c r="R55" s="33">
        <f>Tabla1[[#This Row],[Aporte Ingresado]]-Tabla1[[#This Row],[Monto 1% u Aporte ]]</f>
        <v>0</v>
      </c>
      <c r="S55" s="27" t="s">
        <v>29</v>
      </c>
      <c r="T55" s="175" t="s">
        <v>969</v>
      </c>
      <c r="U55" s="26" t="s">
        <v>1052</v>
      </c>
      <c r="V55" s="185" t="s">
        <v>1054</v>
      </c>
      <c r="W55" s="148" t="s">
        <v>1050</v>
      </c>
      <c r="X55" s="190"/>
      <c r="Y55" s="32"/>
      <c r="Z55" s="36"/>
    </row>
    <row r="56" spans="1:26" ht="12" hidden="1" customHeight="1" x14ac:dyDescent="0.2">
      <c r="A56" s="22">
        <f t="shared" si="1"/>
        <v>26</v>
      </c>
      <c r="B56" s="23" t="s">
        <v>638</v>
      </c>
      <c r="C56" s="24" t="s">
        <v>871</v>
      </c>
      <c r="D56" s="24" t="s">
        <v>352</v>
      </c>
      <c r="E56" s="24" t="s">
        <v>352</v>
      </c>
      <c r="F56" s="107"/>
      <c r="G56" s="32" t="s">
        <v>74</v>
      </c>
      <c r="H56" s="181" t="s">
        <v>20</v>
      </c>
      <c r="I56" s="32" t="s">
        <v>23</v>
      </c>
      <c r="J56" s="33">
        <v>90000000</v>
      </c>
      <c r="K56" s="34">
        <v>0.01</v>
      </c>
      <c r="L56" s="33">
        <f>Tabla1[[#This Row],[Monto 1% u Aporte ]]*Tabla1[[#This Row],[Tasa Propuesta Administración OTIC]]</f>
        <v>900000</v>
      </c>
      <c r="M56" s="32" t="s">
        <v>44</v>
      </c>
      <c r="N56" s="32" t="s">
        <v>136</v>
      </c>
      <c r="O56" s="32" t="s">
        <v>28</v>
      </c>
      <c r="P56" s="11" t="s">
        <v>15</v>
      </c>
      <c r="Q56" s="27">
        <v>0</v>
      </c>
      <c r="R56" s="33">
        <f>Tabla1[[#This Row],[Aporte Ingresado]]-Tabla1[[#This Row],[Monto 1% u Aporte ]]</f>
        <v>-90000000</v>
      </c>
      <c r="S56" s="27" t="s">
        <v>29</v>
      </c>
      <c r="T56" s="175" t="s">
        <v>969</v>
      </c>
      <c r="U56" s="26" t="s">
        <v>99</v>
      </c>
      <c r="V56" s="153" t="s">
        <v>99</v>
      </c>
      <c r="W56" s="26"/>
      <c r="X56" s="32"/>
      <c r="Y56" s="32"/>
      <c r="Z56" s="36"/>
    </row>
    <row r="57" spans="1:26" hidden="1" x14ac:dyDescent="0.2">
      <c r="A57" s="22">
        <f t="shared" si="1"/>
        <v>27</v>
      </c>
      <c r="B57" s="23" t="s">
        <v>660</v>
      </c>
      <c r="C57" s="24" t="s">
        <v>871</v>
      </c>
      <c r="D57" s="24" t="s">
        <v>352</v>
      </c>
      <c r="E57" s="24" t="s">
        <v>352</v>
      </c>
      <c r="F57" s="107"/>
      <c r="G57" s="32" t="s">
        <v>93</v>
      </c>
      <c r="H57" s="181" t="s">
        <v>20</v>
      </c>
      <c r="I57" s="32" t="s">
        <v>23</v>
      </c>
      <c r="J57" s="33">
        <v>21000000</v>
      </c>
      <c r="K57" s="34">
        <v>0.08</v>
      </c>
      <c r="L57" s="33">
        <f>Tabla1[[#This Row],[Monto 1% u Aporte ]]*Tabla1[[#This Row],[Tasa Propuesta Administración OTIC]]</f>
        <v>1680000</v>
      </c>
      <c r="M57" s="32" t="s">
        <v>68</v>
      </c>
      <c r="N57" s="32" t="s">
        <v>643</v>
      </c>
      <c r="O57" s="32" t="s">
        <v>33</v>
      </c>
      <c r="P57" s="11" t="s">
        <v>15</v>
      </c>
      <c r="Q57" s="27">
        <v>0</v>
      </c>
      <c r="R57" s="33">
        <f>Tabla1[[#This Row],[Aporte Ingresado]]-Tabla1[[#This Row],[Monto 1% u Aporte ]]</f>
        <v>-21000000</v>
      </c>
      <c r="S57" s="27" t="s">
        <v>29</v>
      </c>
      <c r="T57" s="175" t="s">
        <v>969</v>
      </c>
      <c r="U57" s="26" t="s">
        <v>956</v>
      </c>
      <c r="V57" s="185" t="s">
        <v>661</v>
      </c>
      <c r="W57" s="29"/>
      <c r="X57" s="127"/>
      <c r="Y57" s="32"/>
      <c r="Z57" s="36">
        <v>46094</v>
      </c>
    </row>
    <row r="58" spans="1:26" hidden="1" x14ac:dyDescent="0.2">
      <c r="A58" s="22">
        <f t="shared" si="1"/>
        <v>28</v>
      </c>
      <c r="B58" s="23" t="s">
        <v>108</v>
      </c>
      <c r="C58" s="24" t="s">
        <v>871</v>
      </c>
      <c r="D58" s="24" t="s">
        <v>352</v>
      </c>
      <c r="E58" s="24" t="s">
        <v>352</v>
      </c>
      <c r="F58" s="107"/>
      <c r="G58" s="32" t="s">
        <v>111</v>
      </c>
      <c r="H58" s="181" t="s">
        <v>20</v>
      </c>
      <c r="I58" s="32" t="s">
        <v>23</v>
      </c>
      <c r="J58" s="33">
        <v>6600000</v>
      </c>
      <c r="K58" s="34">
        <v>7.0000000000000007E-2</v>
      </c>
      <c r="L58" s="33">
        <f>Tabla1[[#This Row],[Monto 1% u Aporte ]]*Tabla1[[#This Row],[Tasa Propuesta Administración OTIC]]</f>
        <v>462000.00000000006</v>
      </c>
      <c r="M58" s="32" t="s">
        <v>68</v>
      </c>
      <c r="N58" s="32" t="s">
        <v>36</v>
      </c>
      <c r="O58" s="32" t="s">
        <v>30</v>
      </c>
      <c r="P58" s="11" t="s">
        <v>15</v>
      </c>
      <c r="Q58" s="27">
        <v>0</v>
      </c>
      <c r="R58" s="33">
        <f>Tabla1[[#This Row],[Aporte Ingresado]]-Tabla1[[#This Row],[Monto 1% u Aporte ]]</f>
        <v>-6600000</v>
      </c>
      <c r="S58" s="27" t="s">
        <v>29</v>
      </c>
      <c r="T58" s="175" t="s">
        <v>969</v>
      </c>
      <c r="U58" s="26" t="s">
        <v>110</v>
      </c>
      <c r="V58" s="30" t="s">
        <v>109</v>
      </c>
      <c r="W58" s="26"/>
      <c r="X58" s="32"/>
      <c r="Y58" s="32"/>
      <c r="Z58" s="36">
        <v>46043</v>
      </c>
    </row>
    <row r="59" spans="1:26" ht="15" hidden="1" customHeight="1" x14ac:dyDescent="0.2">
      <c r="A59" s="22">
        <f t="shared" si="1"/>
        <v>29</v>
      </c>
      <c r="B59" s="23" t="s">
        <v>131</v>
      </c>
      <c r="C59" s="24" t="s">
        <v>871</v>
      </c>
      <c r="D59" s="24" t="s">
        <v>352</v>
      </c>
      <c r="E59" s="24" t="s">
        <v>352</v>
      </c>
      <c r="F59" s="107"/>
      <c r="G59" s="32" t="s">
        <v>87</v>
      </c>
      <c r="H59" s="181" t="s">
        <v>20</v>
      </c>
      <c r="I59" s="32" t="s">
        <v>23</v>
      </c>
      <c r="J59" s="33">
        <v>15000000</v>
      </c>
      <c r="K59" s="34">
        <v>0.05</v>
      </c>
      <c r="L59" s="33">
        <f>Tabla1[[#This Row],[Monto 1% u Aporte ]]*Tabla1[[#This Row],[Tasa Propuesta Administración OTIC]]</f>
        <v>750000</v>
      </c>
      <c r="M59" s="32" t="s">
        <v>68</v>
      </c>
      <c r="N59" s="32" t="s">
        <v>136</v>
      </c>
      <c r="O59" s="32" t="s">
        <v>28</v>
      </c>
      <c r="P59" s="35" t="s">
        <v>15</v>
      </c>
      <c r="Q59" s="27">
        <v>0</v>
      </c>
      <c r="R59" s="33">
        <f>Tabla1[[#This Row],[Aporte Ingresado]]-Tabla1[[#This Row],[Monto 1% u Aporte ]]</f>
        <v>-15000000</v>
      </c>
      <c r="S59" s="27" t="s">
        <v>29</v>
      </c>
      <c r="T59" s="175" t="s">
        <v>969</v>
      </c>
      <c r="U59" s="26" t="s">
        <v>133</v>
      </c>
      <c r="V59" s="185" t="s">
        <v>132</v>
      </c>
      <c r="W59" s="29"/>
      <c r="X59" s="127"/>
      <c r="Y59" s="32" t="s">
        <v>134</v>
      </c>
      <c r="Z59" s="36">
        <v>46058</v>
      </c>
    </row>
    <row r="60" spans="1:26" hidden="1" x14ac:dyDescent="0.2">
      <c r="A60" s="22">
        <f t="shared" si="1"/>
        <v>30</v>
      </c>
      <c r="B60" s="138" t="s">
        <v>972</v>
      </c>
      <c r="C60" s="24" t="s">
        <v>871</v>
      </c>
      <c r="D60" s="24" t="s">
        <v>352</v>
      </c>
      <c r="E60" s="24" t="s">
        <v>352</v>
      </c>
      <c r="F60" s="107"/>
      <c r="G60" s="32" t="s">
        <v>12</v>
      </c>
      <c r="H60" s="181"/>
      <c r="I60" s="32" t="s">
        <v>23</v>
      </c>
      <c r="J60" s="33">
        <v>10081899</v>
      </c>
      <c r="K60" s="28">
        <v>0.08</v>
      </c>
      <c r="L60" s="33">
        <f>Tabla1[[#This Row],[Monto 1% u Aporte ]]*Tabla1[[#This Row],[Tasa Propuesta Administración OTIC]]</f>
        <v>806551.92</v>
      </c>
      <c r="M60" s="32" t="s">
        <v>44</v>
      </c>
      <c r="N60" s="181">
        <v>2026</v>
      </c>
      <c r="O60" s="32" t="s">
        <v>32</v>
      </c>
      <c r="P60" s="35" t="s">
        <v>15</v>
      </c>
      <c r="Q60" s="27">
        <v>0</v>
      </c>
      <c r="R60" s="33">
        <f>Tabla1[[#This Row],[Aporte Ingresado]]-Tabla1[[#This Row],[Monto 1% u Aporte ]]</f>
        <v>-10081899</v>
      </c>
      <c r="S60" s="27" t="s">
        <v>29</v>
      </c>
      <c r="T60" s="175" t="s">
        <v>969</v>
      </c>
      <c r="U60" s="26" t="s">
        <v>974</v>
      </c>
      <c r="V60" s="30" t="s">
        <v>973</v>
      </c>
      <c r="W60" s="26"/>
      <c r="X60" s="32"/>
      <c r="Y60" s="32"/>
      <c r="Z60" s="36"/>
    </row>
    <row r="61" spans="1:26" ht="12" hidden="1" customHeight="1" x14ac:dyDescent="0.2">
      <c r="A61" s="22">
        <f t="shared" si="1"/>
        <v>31</v>
      </c>
      <c r="B61" s="138" t="s">
        <v>1044</v>
      </c>
      <c r="C61" s="24" t="s">
        <v>871</v>
      </c>
      <c r="D61" s="24" t="s">
        <v>1045</v>
      </c>
      <c r="E61" s="24" t="s">
        <v>1046</v>
      </c>
      <c r="F61" s="107"/>
      <c r="G61" s="32" t="s">
        <v>111</v>
      </c>
      <c r="H61" s="181" t="s">
        <v>20</v>
      </c>
      <c r="I61" s="32" t="s">
        <v>25</v>
      </c>
      <c r="J61" s="33">
        <v>7000000</v>
      </c>
      <c r="K61" s="34">
        <v>0.06</v>
      </c>
      <c r="L61" s="33">
        <f>Tabla1[[#This Row],[Monto 1% u Aporte ]]*Tabla1[[#This Row],[Tasa Propuesta Administración OTIC]]</f>
        <v>420000</v>
      </c>
      <c r="M61" s="32" t="s">
        <v>68</v>
      </c>
      <c r="N61" s="32">
        <v>2025</v>
      </c>
      <c r="O61" s="32" t="s">
        <v>31</v>
      </c>
      <c r="P61" s="35" t="s">
        <v>15</v>
      </c>
      <c r="Q61" s="27">
        <v>0</v>
      </c>
      <c r="R61" s="33">
        <f>Tabla1[[#This Row],[Aporte Ingresado]]-Tabla1[[#This Row],[Monto 1% u Aporte ]]</f>
        <v>-7000000</v>
      </c>
      <c r="S61" s="27" t="s">
        <v>29</v>
      </c>
      <c r="T61" s="175" t="s">
        <v>969</v>
      </c>
      <c r="U61" s="26"/>
      <c r="V61" s="185"/>
      <c r="W61" s="148"/>
      <c r="X61" s="190"/>
      <c r="Y61" s="32"/>
      <c r="Z61" s="36"/>
    </row>
    <row r="62" spans="1:26" hidden="1" x14ac:dyDescent="0.2">
      <c r="A62" s="22">
        <f t="shared" si="1"/>
        <v>32</v>
      </c>
      <c r="B62" s="138" t="s">
        <v>1044</v>
      </c>
      <c r="C62" s="24" t="s">
        <v>871</v>
      </c>
      <c r="D62" s="24" t="s">
        <v>352</v>
      </c>
      <c r="E62" s="24" t="s">
        <v>352</v>
      </c>
      <c r="F62" s="107"/>
      <c r="G62" s="32" t="s">
        <v>111</v>
      </c>
      <c r="H62" s="181" t="s">
        <v>20</v>
      </c>
      <c r="I62" s="32" t="s">
        <v>25</v>
      </c>
      <c r="J62" s="33">
        <v>0</v>
      </c>
      <c r="K62" s="34">
        <v>0</v>
      </c>
      <c r="L62" s="33">
        <f>Tabla1[[#This Row],[Monto 1% u Aporte ]]*Tabla1[[#This Row],[Tasa Propuesta Administración OTIC]]</f>
        <v>0</v>
      </c>
      <c r="M62" s="32" t="s">
        <v>68</v>
      </c>
      <c r="N62" s="32">
        <v>2025</v>
      </c>
      <c r="O62" s="32" t="s">
        <v>31</v>
      </c>
      <c r="P62" s="35" t="s">
        <v>15</v>
      </c>
      <c r="Q62" s="27">
        <v>0</v>
      </c>
      <c r="R62" s="33">
        <f>Tabla1[[#This Row],[Aporte Ingresado]]-Tabla1[[#This Row],[Monto 1% u Aporte ]]</f>
        <v>0</v>
      </c>
      <c r="S62" s="27" t="s">
        <v>29</v>
      </c>
      <c r="T62" s="175" t="s">
        <v>969</v>
      </c>
      <c r="U62" s="26"/>
      <c r="V62" s="185"/>
      <c r="W62" s="148"/>
      <c r="X62" s="190"/>
      <c r="Y62" s="32"/>
      <c r="Z62" s="36"/>
    </row>
    <row r="63" spans="1:26" ht="12" hidden="1" customHeight="1" x14ac:dyDescent="0.2">
      <c r="A63" s="22">
        <f t="shared" ref="A63:A94" si="2">A62+1</f>
        <v>33</v>
      </c>
      <c r="B63" s="23" t="s">
        <v>61</v>
      </c>
      <c r="C63" s="24" t="s">
        <v>871</v>
      </c>
      <c r="D63" s="24" t="s">
        <v>352</v>
      </c>
      <c r="E63" s="24" t="s">
        <v>352</v>
      </c>
      <c r="F63" s="107"/>
      <c r="G63" s="32" t="s">
        <v>12</v>
      </c>
      <c r="H63" s="181" t="s">
        <v>20</v>
      </c>
      <c r="I63" s="32" t="s">
        <v>23</v>
      </c>
      <c r="J63" s="33">
        <v>60000000</v>
      </c>
      <c r="K63" s="34">
        <v>0.08</v>
      </c>
      <c r="L63" s="33">
        <f>Tabla1[[#This Row],[Monto 1% u Aporte ]]*Tabla1[[#This Row],[Tasa Propuesta Administración OTIC]]</f>
        <v>4800000</v>
      </c>
      <c r="M63" s="32" t="s">
        <v>40</v>
      </c>
      <c r="N63" s="32" t="s">
        <v>36</v>
      </c>
      <c r="O63" s="32" t="s">
        <v>33</v>
      </c>
      <c r="P63" s="35" t="s">
        <v>15</v>
      </c>
      <c r="Q63" s="27">
        <v>0</v>
      </c>
      <c r="R63" s="33">
        <f>Tabla1[[#This Row],[Aporte Ingresado]]-Tabla1[[#This Row],[Monto 1% u Aporte ]]</f>
        <v>-60000000</v>
      </c>
      <c r="S63" s="27" t="s">
        <v>29</v>
      </c>
      <c r="T63" s="175" t="s">
        <v>969</v>
      </c>
      <c r="U63" s="26" t="s">
        <v>67</v>
      </c>
      <c r="V63" s="30" t="s">
        <v>66</v>
      </c>
      <c r="W63" s="26"/>
      <c r="X63" s="32"/>
      <c r="Y63" s="32" t="s">
        <v>100</v>
      </c>
      <c r="Z63" s="36">
        <v>46034</v>
      </c>
    </row>
    <row r="64" spans="1:26" hidden="1" x14ac:dyDescent="0.2">
      <c r="A64" s="22">
        <f t="shared" si="2"/>
        <v>34</v>
      </c>
      <c r="B64" s="23" t="s">
        <v>51</v>
      </c>
      <c r="C64" s="24" t="s">
        <v>871</v>
      </c>
      <c r="D64" s="24" t="s">
        <v>352</v>
      </c>
      <c r="E64" s="24" t="s">
        <v>352</v>
      </c>
      <c r="F64" s="107"/>
      <c r="G64" s="32" t="s">
        <v>87</v>
      </c>
      <c r="H64" s="181" t="s">
        <v>20</v>
      </c>
      <c r="I64" s="32" t="s">
        <v>23</v>
      </c>
      <c r="J64" s="33">
        <v>160000000</v>
      </c>
      <c r="K64" s="137">
        <v>0.02</v>
      </c>
      <c r="L64" s="33">
        <f>Tabla1[[#This Row],[Monto 1% u Aporte ]]*Tabla1[[#This Row],[Tasa Propuesta Administración OTIC]]</f>
        <v>3200000</v>
      </c>
      <c r="M64" s="32" t="s">
        <v>39</v>
      </c>
      <c r="N64" s="32" t="s">
        <v>36</v>
      </c>
      <c r="O64" s="32" t="s">
        <v>30</v>
      </c>
      <c r="P64" s="35" t="s">
        <v>95</v>
      </c>
      <c r="Q64" s="27">
        <v>0</v>
      </c>
      <c r="R64" s="33">
        <f>Tabla1[[#This Row],[Aporte Ingresado]]-Tabla1[[#This Row],[Monto 1% u Aporte ]]</f>
        <v>-160000000</v>
      </c>
      <c r="S64" s="27" t="s">
        <v>29</v>
      </c>
      <c r="T64" s="175" t="s">
        <v>969</v>
      </c>
      <c r="U64" s="26" t="s">
        <v>53</v>
      </c>
      <c r="V64" s="30" t="s">
        <v>52</v>
      </c>
      <c r="W64" s="26" t="s">
        <v>1082</v>
      </c>
      <c r="X64" s="32" t="s">
        <v>1081</v>
      </c>
      <c r="Y64" s="32" t="s">
        <v>54</v>
      </c>
      <c r="Z64" s="36">
        <v>46030</v>
      </c>
    </row>
    <row r="65" spans="1:26" hidden="1" x14ac:dyDescent="0.2">
      <c r="A65" s="22">
        <f t="shared" si="2"/>
        <v>35</v>
      </c>
      <c r="B65" s="23" t="s">
        <v>1033</v>
      </c>
      <c r="C65" s="24" t="s">
        <v>871</v>
      </c>
      <c r="D65" s="24" t="s">
        <v>352</v>
      </c>
      <c r="E65" s="24" t="s">
        <v>352</v>
      </c>
      <c r="F65" s="107"/>
      <c r="G65" s="32" t="s">
        <v>87</v>
      </c>
      <c r="H65" s="181"/>
      <c r="I65" s="32" t="s">
        <v>23</v>
      </c>
      <c r="J65" s="33">
        <v>100000000</v>
      </c>
      <c r="K65" s="34">
        <v>0.04</v>
      </c>
      <c r="L65" s="33">
        <f>Tabla1[[#This Row],[Monto 1% u Aporte ]]*Tabla1[[#This Row],[Tasa Propuesta Administración OTIC]]</f>
        <v>4000000</v>
      </c>
      <c r="M65" s="32" t="s">
        <v>68</v>
      </c>
      <c r="N65" s="32">
        <v>2026</v>
      </c>
      <c r="O65" s="32" t="s">
        <v>30</v>
      </c>
      <c r="P65" s="35" t="s">
        <v>95</v>
      </c>
      <c r="Q65" s="27">
        <v>0</v>
      </c>
      <c r="R65" s="33">
        <f>Tabla1[[#This Row],[Aporte Ingresado]]-Tabla1[[#This Row],[Monto 1% u Aporte ]]</f>
        <v>-100000000</v>
      </c>
      <c r="S65" s="27" t="s">
        <v>29</v>
      </c>
      <c r="T65" s="175" t="s">
        <v>969</v>
      </c>
      <c r="U65" s="26" t="s">
        <v>1036</v>
      </c>
      <c r="V65" s="153" t="s">
        <v>1034</v>
      </c>
      <c r="W65" s="148" t="s">
        <v>1084</v>
      </c>
      <c r="X65" s="190">
        <v>56995090756</v>
      </c>
      <c r="Y65" s="32" t="s">
        <v>1083</v>
      </c>
      <c r="Z65" s="36"/>
    </row>
    <row r="66" spans="1:26" ht="15" hidden="1" customHeight="1" x14ac:dyDescent="0.2">
      <c r="A66" s="22">
        <f t="shared" si="2"/>
        <v>36</v>
      </c>
      <c r="B66" s="23" t="s">
        <v>1043</v>
      </c>
      <c r="C66" s="24" t="s">
        <v>871</v>
      </c>
      <c r="D66" s="24" t="s">
        <v>352</v>
      </c>
      <c r="E66" s="24" t="s">
        <v>352</v>
      </c>
      <c r="F66" s="107"/>
      <c r="G66" s="32" t="s">
        <v>12</v>
      </c>
      <c r="H66" s="181"/>
      <c r="I66" s="32" t="s">
        <v>23</v>
      </c>
      <c r="J66" s="33">
        <v>100000000</v>
      </c>
      <c r="K66" s="34">
        <v>0.04</v>
      </c>
      <c r="L66" s="33">
        <f>Tabla1[[#This Row],[Monto 1% u Aporte ]]*Tabla1[[#This Row],[Tasa Propuesta Administración OTIC]]</f>
        <v>4000000</v>
      </c>
      <c r="M66" s="32" t="s">
        <v>68</v>
      </c>
      <c r="N66" s="32">
        <v>2026</v>
      </c>
      <c r="O66" s="32" t="s">
        <v>30</v>
      </c>
      <c r="P66" s="35" t="s">
        <v>15</v>
      </c>
      <c r="Q66" s="27">
        <v>0</v>
      </c>
      <c r="R66" s="33">
        <f>Tabla1[[#This Row],[Aporte Ingresado]]-Tabla1[[#This Row],[Monto 1% u Aporte ]]</f>
        <v>-100000000</v>
      </c>
      <c r="S66" s="27" t="s">
        <v>29</v>
      </c>
      <c r="T66" s="175" t="s">
        <v>969</v>
      </c>
      <c r="U66" s="26" t="s">
        <v>1042</v>
      </c>
      <c r="V66" s="185" t="s">
        <v>1041</v>
      </c>
      <c r="W66" s="148"/>
      <c r="X66" s="190"/>
      <c r="Y66" s="32"/>
      <c r="Z66" s="36"/>
    </row>
    <row r="67" spans="1:26" ht="15" hidden="1" customHeight="1" x14ac:dyDescent="0.2">
      <c r="A67" s="22">
        <f t="shared" si="2"/>
        <v>37</v>
      </c>
      <c r="B67" s="142" t="s">
        <v>90</v>
      </c>
      <c r="C67" s="24" t="s">
        <v>871</v>
      </c>
      <c r="D67" s="24" t="s">
        <v>352</v>
      </c>
      <c r="E67" s="24" t="s">
        <v>352</v>
      </c>
      <c r="F67" s="107" t="s">
        <v>965</v>
      </c>
      <c r="G67" s="32" t="s">
        <v>87</v>
      </c>
      <c r="H67" s="24" t="s">
        <v>19</v>
      </c>
      <c r="I67" s="26" t="s">
        <v>23</v>
      </c>
      <c r="J67" s="33">
        <v>80000000</v>
      </c>
      <c r="K67" s="31">
        <v>0.06</v>
      </c>
      <c r="L67" s="27">
        <f>Tabla1[[#This Row],[Monto 1% u Aporte ]]*Tabla1[[#This Row],[Tasa Propuesta Administración OTIC]]</f>
        <v>4800000</v>
      </c>
      <c r="M67" s="32" t="s">
        <v>44</v>
      </c>
      <c r="N67" s="26" t="s">
        <v>36</v>
      </c>
      <c r="O67" s="26" t="s">
        <v>30</v>
      </c>
      <c r="P67" s="11" t="s">
        <v>95</v>
      </c>
      <c r="Q67" s="27">
        <v>0</v>
      </c>
      <c r="R67" s="27">
        <f>Tabla1[[#This Row],[Aporte Ingresado]]-Tabla1[[#This Row],[Monto 1% u Aporte ]]</f>
        <v>-80000000</v>
      </c>
      <c r="S67" s="27" t="s">
        <v>29</v>
      </c>
      <c r="T67" s="175" t="s">
        <v>969</v>
      </c>
      <c r="U67" s="148" t="s">
        <v>46</v>
      </c>
      <c r="V67" s="185" t="s">
        <v>45</v>
      </c>
      <c r="W67" s="148"/>
      <c r="X67" s="29"/>
      <c r="Y67" s="26" t="s">
        <v>1085</v>
      </c>
      <c r="Z67" s="30">
        <v>46029</v>
      </c>
    </row>
    <row r="68" spans="1:26" hidden="1" x14ac:dyDescent="0.2">
      <c r="A68" s="22">
        <f t="shared" si="2"/>
        <v>38</v>
      </c>
      <c r="B68" s="143" t="s">
        <v>1017</v>
      </c>
      <c r="C68" s="24" t="s">
        <v>871</v>
      </c>
      <c r="D68" s="24" t="s">
        <v>352</v>
      </c>
      <c r="E68" s="24" t="s">
        <v>352</v>
      </c>
      <c r="F68" s="107"/>
      <c r="G68" s="32" t="s">
        <v>93</v>
      </c>
      <c r="H68" s="181"/>
      <c r="I68" s="32" t="s">
        <v>23</v>
      </c>
      <c r="J68" s="33">
        <v>52000000</v>
      </c>
      <c r="K68" s="34">
        <v>0.15</v>
      </c>
      <c r="L68" s="33">
        <f>Tabla1[[#This Row],[Monto 1% u Aporte ]]*Tabla1[[#This Row],[Tasa Propuesta Administración OTIC]]</f>
        <v>7800000</v>
      </c>
      <c r="M68" s="32" t="s">
        <v>41</v>
      </c>
      <c r="N68" s="32">
        <v>2026</v>
      </c>
      <c r="O68" s="32" t="s">
        <v>30</v>
      </c>
      <c r="P68" s="35" t="s">
        <v>95</v>
      </c>
      <c r="Q68" s="27">
        <v>0</v>
      </c>
      <c r="R68" s="33">
        <f>Tabla1[[#This Row],[Aporte Ingresado]]-Tabla1[[#This Row],[Monto 1% u Aporte ]]</f>
        <v>-52000000</v>
      </c>
      <c r="S68" s="27" t="s">
        <v>29</v>
      </c>
      <c r="T68" s="175" t="s">
        <v>969</v>
      </c>
      <c r="U68" s="26" t="s">
        <v>1018</v>
      </c>
      <c r="V68" s="153" t="s">
        <v>1016</v>
      </c>
      <c r="W68" s="148" t="s">
        <v>1019</v>
      </c>
      <c r="X68" s="32" t="s">
        <v>1086</v>
      </c>
      <c r="Y68" s="32" t="s">
        <v>1083</v>
      </c>
      <c r="Z68" s="36"/>
    </row>
    <row r="69" spans="1:26" hidden="1" x14ac:dyDescent="0.2">
      <c r="A69" s="22">
        <f t="shared" si="2"/>
        <v>39</v>
      </c>
      <c r="B69" s="142" t="s">
        <v>139</v>
      </c>
      <c r="C69" s="24" t="s">
        <v>871</v>
      </c>
      <c r="D69" s="24" t="s">
        <v>352</v>
      </c>
      <c r="E69" s="24" t="s">
        <v>352</v>
      </c>
      <c r="F69" s="107"/>
      <c r="G69" s="32" t="s">
        <v>87</v>
      </c>
      <c r="H69" s="24" t="s">
        <v>20</v>
      </c>
      <c r="I69" s="26" t="s">
        <v>27</v>
      </c>
      <c r="J69" s="33">
        <v>50000000</v>
      </c>
      <c r="K69" s="34">
        <v>7.0000000000000007E-2</v>
      </c>
      <c r="L69" s="27">
        <f>Tabla1[[#This Row],[Monto 1% u Aporte ]]*Tabla1[[#This Row],[Tasa Propuesta Administración OTIC]]</f>
        <v>3500000.0000000005</v>
      </c>
      <c r="M69" s="32" t="s">
        <v>44</v>
      </c>
      <c r="N69" s="32" t="s">
        <v>136</v>
      </c>
      <c r="O69" s="26" t="s">
        <v>30</v>
      </c>
      <c r="P69" s="11" t="s">
        <v>95</v>
      </c>
      <c r="Q69" s="27">
        <v>0</v>
      </c>
      <c r="R69" s="27">
        <f>Tabla1[[#This Row],[Aporte Ingresado]]-Tabla1[[#This Row],[Monto 1% u Aporte ]]</f>
        <v>-50000000</v>
      </c>
      <c r="S69" s="27" t="s">
        <v>29</v>
      </c>
      <c r="T69" s="175" t="s">
        <v>969</v>
      </c>
      <c r="U69" s="26" t="s">
        <v>146</v>
      </c>
      <c r="V69" s="185" t="s">
        <v>145</v>
      </c>
      <c r="W69" s="148"/>
      <c r="X69" s="127"/>
      <c r="Y69" s="32"/>
      <c r="Z69" s="30"/>
    </row>
    <row r="70" spans="1:26" ht="12" hidden="1" customHeight="1" x14ac:dyDescent="0.2">
      <c r="A70" s="22">
        <f t="shared" si="2"/>
        <v>40</v>
      </c>
      <c r="B70" s="142" t="s">
        <v>140</v>
      </c>
      <c r="C70" s="24" t="s">
        <v>871</v>
      </c>
      <c r="D70" s="24" t="s">
        <v>352</v>
      </c>
      <c r="E70" s="24" t="s">
        <v>352</v>
      </c>
      <c r="F70" s="126"/>
      <c r="G70" s="32" t="s">
        <v>87</v>
      </c>
      <c r="H70" s="24" t="s">
        <v>20</v>
      </c>
      <c r="I70" s="26" t="s">
        <v>27</v>
      </c>
      <c r="J70" s="27">
        <v>50000000</v>
      </c>
      <c r="K70" s="28">
        <v>0.08</v>
      </c>
      <c r="L70" s="27">
        <f>Tabla1[[#This Row],[Monto 1% u Aporte ]]*Tabla1[[#This Row],[Tasa Propuesta Administración OTIC]]</f>
        <v>4000000</v>
      </c>
      <c r="M70" s="32" t="s">
        <v>44</v>
      </c>
      <c r="N70" s="26" t="s">
        <v>136</v>
      </c>
      <c r="O70" s="26" t="s">
        <v>30</v>
      </c>
      <c r="P70" s="11" t="s">
        <v>95</v>
      </c>
      <c r="Q70" s="27">
        <v>0</v>
      </c>
      <c r="R70" s="27">
        <f>Tabla1[[#This Row],[Aporte Ingresado]]-Tabla1[[#This Row],[Monto 1% u Aporte ]]</f>
        <v>-50000000</v>
      </c>
      <c r="S70" s="27" t="s">
        <v>29</v>
      </c>
      <c r="T70" s="175" t="s">
        <v>969</v>
      </c>
      <c r="U70" s="26" t="s">
        <v>148</v>
      </c>
      <c r="V70" s="185" t="s">
        <v>147</v>
      </c>
      <c r="W70" s="148"/>
      <c r="X70" s="29"/>
      <c r="Y70" s="26"/>
      <c r="Z70" s="30"/>
    </row>
    <row r="71" spans="1:26" hidden="1" x14ac:dyDescent="0.2">
      <c r="A71" s="22">
        <f t="shared" si="2"/>
        <v>41</v>
      </c>
      <c r="B71" s="142" t="s">
        <v>70</v>
      </c>
      <c r="C71" s="24" t="s">
        <v>871</v>
      </c>
      <c r="D71" s="24" t="s">
        <v>82</v>
      </c>
      <c r="E71" s="24" t="s">
        <v>81</v>
      </c>
      <c r="F71" s="126"/>
      <c r="G71" s="171" t="s">
        <v>12</v>
      </c>
      <c r="H71" s="24" t="s">
        <v>20</v>
      </c>
      <c r="I71" s="26" t="s">
        <v>23</v>
      </c>
      <c r="J71" s="27">
        <v>50000000</v>
      </c>
      <c r="K71" s="28">
        <v>0.08</v>
      </c>
      <c r="L71" s="27">
        <f>Tabla1[[#This Row],[Monto 1% u Aporte ]]*Tabla1[[#This Row],[Tasa Propuesta Administración OTIC]]</f>
        <v>4000000</v>
      </c>
      <c r="M71" s="171" t="s">
        <v>68</v>
      </c>
      <c r="N71" s="26" t="s">
        <v>36</v>
      </c>
      <c r="O71" s="26" t="s">
        <v>30</v>
      </c>
      <c r="P71" s="11" t="s">
        <v>95</v>
      </c>
      <c r="Q71" s="27">
        <v>0</v>
      </c>
      <c r="R71" s="27">
        <f>Tabla1[[#This Row],[Aporte Ingresado]]-Tabla1[[#This Row],[Monto 1% u Aporte ]]</f>
        <v>-50000000</v>
      </c>
      <c r="S71" s="27" t="s">
        <v>29</v>
      </c>
      <c r="T71" s="175" t="s">
        <v>969</v>
      </c>
      <c r="U71" s="26" t="s">
        <v>627</v>
      </c>
      <c r="V71" s="185" t="s">
        <v>626</v>
      </c>
      <c r="W71" s="148" t="s">
        <v>1076</v>
      </c>
      <c r="X71" s="148"/>
      <c r="Y71" s="32" t="s">
        <v>1083</v>
      </c>
      <c r="Z71" s="30">
        <v>46036</v>
      </c>
    </row>
    <row r="72" spans="1:26" ht="12" hidden="1" customHeight="1" x14ac:dyDescent="0.2">
      <c r="A72" s="22">
        <f t="shared" si="2"/>
        <v>42</v>
      </c>
      <c r="B72" s="142" t="s">
        <v>680</v>
      </c>
      <c r="C72" s="24" t="s">
        <v>871</v>
      </c>
      <c r="D72" s="24" t="s">
        <v>352</v>
      </c>
      <c r="E72" s="24" t="s">
        <v>352</v>
      </c>
      <c r="F72" s="126"/>
      <c r="G72" s="171" t="s">
        <v>12</v>
      </c>
      <c r="H72" s="24" t="s">
        <v>20</v>
      </c>
      <c r="I72" s="26" t="s">
        <v>23</v>
      </c>
      <c r="J72" s="27">
        <v>40000000</v>
      </c>
      <c r="K72" s="28">
        <v>0.08</v>
      </c>
      <c r="L72" s="27">
        <f>Tabla1[[#This Row],[Monto 1% u Aporte ]]*Tabla1[[#This Row],[Tasa Propuesta Administración OTIC]]</f>
        <v>3200000</v>
      </c>
      <c r="M72" s="171" t="s">
        <v>44</v>
      </c>
      <c r="N72" s="26" t="s">
        <v>643</v>
      </c>
      <c r="O72" s="26" t="s">
        <v>30</v>
      </c>
      <c r="P72" s="11" t="s">
        <v>95</v>
      </c>
      <c r="Q72" s="27">
        <v>0</v>
      </c>
      <c r="R72" s="27">
        <f>Tabla1[[#This Row],[Aporte Ingresado]]-Tabla1[[#This Row],[Monto 1% u Aporte ]]</f>
        <v>-40000000</v>
      </c>
      <c r="S72" s="27" t="s">
        <v>29</v>
      </c>
      <c r="T72" s="175" t="s">
        <v>969</v>
      </c>
      <c r="U72" s="26" t="s">
        <v>962</v>
      </c>
      <c r="V72" s="30" t="s">
        <v>961</v>
      </c>
      <c r="W72" s="148"/>
      <c r="X72" s="26"/>
      <c r="Y72" s="26"/>
      <c r="Z72" s="30"/>
    </row>
    <row r="73" spans="1:26" ht="12.75" hidden="1" customHeight="1" x14ac:dyDescent="0.2">
      <c r="A73" s="22">
        <f t="shared" si="2"/>
        <v>43</v>
      </c>
      <c r="B73" s="142" t="s">
        <v>726</v>
      </c>
      <c r="C73" s="24" t="s">
        <v>871</v>
      </c>
      <c r="D73" s="24" t="s">
        <v>352</v>
      </c>
      <c r="E73" s="24" t="s">
        <v>352</v>
      </c>
      <c r="F73" s="126"/>
      <c r="G73" s="171" t="s">
        <v>89</v>
      </c>
      <c r="H73" s="24" t="s">
        <v>20</v>
      </c>
      <c r="I73" s="26" t="s">
        <v>23</v>
      </c>
      <c r="J73" s="27">
        <v>27494882</v>
      </c>
      <c r="K73" s="28">
        <v>7.0000000000000007E-2</v>
      </c>
      <c r="L73" s="27">
        <f>Tabla1[[#This Row],[Monto 1% u Aporte ]]*Tabla1[[#This Row],[Tasa Propuesta Administración OTIC]]</f>
        <v>1924641.7400000002</v>
      </c>
      <c r="M73" s="171" t="s">
        <v>44</v>
      </c>
      <c r="N73" s="26" t="s">
        <v>718</v>
      </c>
      <c r="O73" s="26" t="s">
        <v>30</v>
      </c>
      <c r="P73" s="11" t="s">
        <v>95</v>
      </c>
      <c r="Q73" s="27">
        <v>0</v>
      </c>
      <c r="R73" s="27">
        <f>Tabla1[[#This Row],[Aporte Ingresado]]-Tabla1[[#This Row],[Monto 1% u Aporte ]]</f>
        <v>-27494882</v>
      </c>
      <c r="S73" s="27" t="s">
        <v>29</v>
      </c>
      <c r="T73" s="175" t="s">
        <v>969</v>
      </c>
      <c r="U73" s="26" t="s">
        <v>727</v>
      </c>
      <c r="V73" s="30" t="s">
        <v>728</v>
      </c>
      <c r="W73" s="148" t="s">
        <v>1087</v>
      </c>
      <c r="X73" s="26">
        <v>56950199603</v>
      </c>
      <c r="Y73" s="32" t="s">
        <v>1083</v>
      </c>
      <c r="Z73" s="30">
        <v>46128</v>
      </c>
    </row>
    <row r="74" spans="1:26" hidden="1" x14ac:dyDescent="0.2">
      <c r="A74" s="22">
        <f t="shared" si="2"/>
        <v>44</v>
      </c>
      <c r="B74" s="142" t="s">
        <v>950</v>
      </c>
      <c r="C74" s="170" t="s">
        <v>871</v>
      </c>
      <c r="D74" s="24" t="s">
        <v>352</v>
      </c>
      <c r="E74" s="24" t="s">
        <v>352</v>
      </c>
      <c r="F74" s="126"/>
      <c r="G74" s="32" t="s">
        <v>111</v>
      </c>
      <c r="H74" s="181" t="s">
        <v>20</v>
      </c>
      <c r="I74" s="32" t="s">
        <v>23</v>
      </c>
      <c r="J74" s="33">
        <v>20000000</v>
      </c>
      <c r="K74" s="34">
        <v>0.125</v>
      </c>
      <c r="L74" s="33">
        <f>Tabla1[[#This Row],[Monto 1% u Aporte ]]*Tabla1[[#This Row],[Tasa Propuesta Administración OTIC]]</f>
        <v>2500000</v>
      </c>
      <c r="M74" s="26" t="s">
        <v>44</v>
      </c>
      <c r="N74" s="32" t="s">
        <v>931</v>
      </c>
      <c r="O74" s="32" t="s">
        <v>30</v>
      </c>
      <c r="P74" s="35" t="s">
        <v>95</v>
      </c>
      <c r="Q74" s="27">
        <v>0</v>
      </c>
      <c r="R74" s="33">
        <f>Tabla1[[#This Row],[Aporte Ingresado]]-Tabla1[[#This Row],[Monto 1% u Aporte ]]</f>
        <v>-20000000</v>
      </c>
      <c r="S74" s="27" t="s">
        <v>29</v>
      </c>
      <c r="T74" s="175" t="s">
        <v>969</v>
      </c>
      <c r="U74" s="26" t="s">
        <v>951</v>
      </c>
      <c r="V74" s="30" t="s">
        <v>952</v>
      </c>
      <c r="W74" s="148"/>
      <c r="X74" s="26"/>
      <c r="Y74" s="32" t="s">
        <v>1083</v>
      </c>
      <c r="Z74" s="36">
        <v>46154</v>
      </c>
    </row>
    <row r="75" spans="1:26" hidden="1" x14ac:dyDescent="0.2">
      <c r="A75" s="22">
        <f t="shared" si="2"/>
        <v>45</v>
      </c>
      <c r="B75" s="142" t="s">
        <v>634</v>
      </c>
      <c r="C75" s="24" t="s">
        <v>871</v>
      </c>
      <c r="D75" s="24" t="s">
        <v>352</v>
      </c>
      <c r="E75" s="24" t="s">
        <v>352</v>
      </c>
      <c r="F75" s="126"/>
      <c r="G75" s="32" t="s">
        <v>89</v>
      </c>
      <c r="H75" s="24" t="s">
        <v>20</v>
      </c>
      <c r="I75" s="26" t="s">
        <v>23</v>
      </c>
      <c r="J75" s="33">
        <v>17000000</v>
      </c>
      <c r="K75" s="34">
        <v>0.08</v>
      </c>
      <c r="L75" s="33">
        <f>Tabla1[[#This Row],[Monto 1% u Aporte ]]*Tabla1[[#This Row],[Tasa Propuesta Administración OTIC]]</f>
        <v>1360000</v>
      </c>
      <c r="M75" s="26" t="s">
        <v>68</v>
      </c>
      <c r="N75" s="26" t="s">
        <v>136</v>
      </c>
      <c r="O75" s="26" t="s">
        <v>30</v>
      </c>
      <c r="P75" s="11" t="s">
        <v>95</v>
      </c>
      <c r="Q75" s="27">
        <v>0</v>
      </c>
      <c r="R75" s="33">
        <f>Tabla1[[#This Row],[Aporte Ingresado]]-Tabla1[[#This Row],[Monto 1% u Aporte ]]</f>
        <v>-17000000</v>
      </c>
      <c r="S75" s="27" t="s">
        <v>29</v>
      </c>
      <c r="T75" s="175" t="s">
        <v>969</v>
      </c>
      <c r="U75" s="26" t="s">
        <v>637</v>
      </c>
      <c r="V75" s="30" t="s">
        <v>636</v>
      </c>
      <c r="W75" s="148"/>
      <c r="X75" s="26"/>
      <c r="Y75" s="32" t="s">
        <v>635</v>
      </c>
      <c r="Z75" s="36">
        <v>46079</v>
      </c>
    </row>
    <row r="76" spans="1:26" ht="15" hidden="1" customHeight="1" x14ac:dyDescent="0.2">
      <c r="A76" s="22">
        <f t="shared" si="2"/>
        <v>46</v>
      </c>
      <c r="B76" s="142" t="s">
        <v>649</v>
      </c>
      <c r="C76" s="24" t="s">
        <v>871</v>
      </c>
      <c r="D76" s="24" t="s">
        <v>352</v>
      </c>
      <c r="E76" s="24" t="s">
        <v>352</v>
      </c>
      <c r="F76" s="126"/>
      <c r="G76" s="32" t="s">
        <v>89</v>
      </c>
      <c r="H76" s="24" t="s">
        <v>20</v>
      </c>
      <c r="I76" s="26" t="s">
        <v>23</v>
      </c>
      <c r="J76" s="27">
        <v>16873332</v>
      </c>
      <c r="K76" s="28">
        <v>0.09</v>
      </c>
      <c r="L76" s="27">
        <f>Tabla1[[#This Row],[Monto 1% u Aporte ]]*Tabla1[[#This Row],[Tasa Propuesta Administración OTIC]]</f>
        <v>1518599.88</v>
      </c>
      <c r="M76" s="171" t="s">
        <v>68</v>
      </c>
      <c r="N76" s="26" t="s">
        <v>643</v>
      </c>
      <c r="O76" s="26" t="s">
        <v>30</v>
      </c>
      <c r="P76" s="11" t="s">
        <v>95</v>
      </c>
      <c r="Q76" s="27">
        <v>0</v>
      </c>
      <c r="R76" s="27">
        <f>Tabla1[[#This Row],[Aporte Ingresado]]-Tabla1[[#This Row],[Monto 1% u Aporte ]]</f>
        <v>-16873332</v>
      </c>
      <c r="S76" s="27" t="s">
        <v>29</v>
      </c>
      <c r="T76" s="175" t="s">
        <v>969</v>
      </c>
      <c r="U76" s="26" t="s">
        <v>650</v>
      </c>
      <c r="V76" s="185" t="s">
        <v>651</v>
      </c>
      <c r="W76" s="148" t="s">
        <v>1091</v>
      </c>
      <c r="X76" s="26">
        <v>56991055047</v>
      </c>
      <c r="Y76" s="26" t="s">
        <v>1083</v>
      </c>
      <c r="Z76" s="30">
        <v>46093</v>
      </c>
    </row>
    <row r="77" spans="1:26" hidden="1" x14ac:dyDescent="0.2">
      <c r="A77" s="22">
        <f t="shared" si="2"/>
        <v>47</v>
      </c>
      <c r="B77" s="142" t="s">
        <v>652</v>
      </c>
      <c r="C77" s="24" t="s">
        <v>871</v>
      </c>
      <c r="D77" s="24" t="s">
        <v>352</v>
      </c>
      <c r="E77" s="24" t="s">
        <v>352</v>
      </c>
      <c r="F77" s="126"/>
      <c r="G77" s="32" t="s">
        <v>12</v>
      </c>
      <c r="H77" s="24" t="s">
        <v>20</v>
      </c>
      <c r="I77" s="26" t="s">
        <v>23</v>
      </c>
      <c r="J77" s="27">
        <v>16000000</v>
      </c>
      <c r="K77" s="28">
        <v>0.09</v>
      </c>
      <c r="L77" s="27">
        <f>Tabla1[[#This Row],[Monto 1% u Aporte ]]*Tabla1[[#This Row],[Tasa Propuesta Administración OTIC]]</f>
        <v>1440000</v>
      </c>
      <c r="M77" s="26" t="s">
        <v>68</v>
      </c>
      <c r="N77" s="26" t="s">
        <v>643</v>
      </c>
      <c r="O77" s="26" t="s">
        <v>30</v>
      </c>
      <c r="P77" s="11" t="s">
        <v>95</v>
      </c>
      <c r="Q77" s="27">
        <v>0</v>
      </c>
      <c r="R77" s="27">
        <f>Tabla1[[#This Row],[Aporte Ingresado]]-Tabla1[[#This Row],[Monto 1% u Aporte ]]</f>
        <v>-16000000</v>
      </c>
      <c r="S77" s="27" t="s">
        <v>29</v>
      </c>
      <c r="T77" s="175" t="s">
        <v>969</v>
      </c>
      <c r="U77" s="26" t="s">
        <v>657</v>
      </c>
      <c r="V77" s="30" t="s">
        <v>656</v>
      </c>
      <c r="W77" s="148"/>
      <c r="X77" s="26"/>
      <c r="Y77" s="26" t="s">
        <v>1083</v>
      </c>
      <c r="Z77" s="30"/>
    </row>
    <row r="78" spans="1:26" hidden="1" x14ac:dyDescent="0.2">
      <c r="A78" s="22">
        <f t="shared" si="2"/>
        <v>48</v>
      </c>
      <c r="B78" s="143" t="s">
        <v>653</v>
      </c>
      <c r="C78" s="24" t="s">
        <v>871</v>
      </c>
      <c r="D78" s="24" t="s">
        <v>352</v>
      </c>
      <c r="E78" s="24" t="s">
        <v>352</v>
      </c>
      <c r="F78" s="126"/>
      <c r="G78" s="32" t="s">
        <v>12</v>
      </c>
      <c r="H78" s="24" t="s">
        <v>20</v>
      </c>
      <c r="I78" s="26" t="s">
        <v>23</v>
      </c>
      <c r="J78" s="27">
        <v>16000000</v>
      </c>
      <c r="K78" s="28">
        <v>0.09</v>
      </c>
      <c r="L78" s="27">
        <f>Tabla1[[#This Row],[Monto 1% u Aporte ]]*Tabla1[[#This Row],[Tasa Propuesta Administración OTIC]]</f>
        <v>1440000</v>
      </c>
      <c r="M78" s="171" t="s">
        <v>44</v>
      </c>
      <c r="N78" s="26" t="s">
        <v>643</v>
      </c>
      <c r="O78" s="26" t="s">
        <v>30</v>
      </c>
      <c r="P78" s="11" t="s">
        <v>14</v>
      </c>
      <c r="Q78" s="27">
        <v>0</v>
      </c>
      <c r="R78" s="27">
        <f>Tabla1[[#This Row],[Aporte Ingresado]]-Tabla1[[#This Row],[Monto 1% u Aporte ]]</f>
        <v>-16000000</v>
      </c>
      <c r="S78" s="27" t="s">
        <v>29</v>
      </c>
      <c r="T78" s="175" t="s">
        <v>969</v>
      </c>
      <c r="U78" s="26" t="s">
        <v>655</v>
      </c>
      <c r="V78" s="30" t="s">
        <v>654</v>
      </c>
      <c r="W78" s="148" t="s">
        <v>1089</v>
      </c>
      <c r="X78" s="26">
        <v>56998282758</v>
      </c>
      <c r="Y78" s="26" t="s">
        <v>1090</v>
      </c>
      <c r="Z78" s="30"/>
    </row>
    <row r="79" spans="1:26" hidden="1" x14ac:dyDescent="0.2">
      <c r="A79" s="22">
        <f t="shared" si="2"/>
        <v>49</v>
      </c>
      <c r="B79" s="143" t="s">
        <v>681</v>
      </c>
      <c r="C79" s="24" t="s">
        <v>871</v>
      </c>
      <c r="D79" s="24" t="s">
        <v>352</v>
      </c>
      <c r="E79" s="24" t="s">
        <v>352</v>
      </c>
      <c r="F79" s="126"/>
      <c r="G79" s="32" t="s">
        <v>12</v>
      </c>
      <c r="H79" s="24" t="s">
        <v>20</v>
      </c>
      <c r="I79" s="26" t="s">
        <v>23</v>
      </c>
      <c r="J79" s="27">
        <v>15000000</v>
      </c>
      <c r="K79" s="28">
        <v>0.05</v>
      </c>
      <c r="L79" s="27">
        <f>Tabla1[[#This Row],[Monto 1% u Aporte ]]*Tabla1[[#This Row],[Tasa Propuesta Administración OTIC]]</f>
        <v>750000</v>
      </c>
      <c r="M79" s="171" t="s">
        <v>44</v>
      </c>
      <c r="N79" s="26" t="s">
        <v>136</v>
      </c>
      <c r="O79" s="26" t="s">
        <v>30</v>
      </c>
      <c r="P79" s="11" t="s">
        <v>95</v>
      </c>
      <c r="Q79" s="27">
        <v>0</v>
      </c>
      <c r="R79" s="27">
        <f>Tabla1[[#This Row],[Aporte Ingresado]]-Tabla1[[#This Row],[Monto 1% u Aporte ]]</f>
        <v>-15000000</v>
      </c>
      <c r="S79" s="27" t="s">
        <v>29</v>
      </c>
      <c r="T79" s="175" t="s">
        <v>969</v>
      </c>
      <c r="U79" s="26" t="s">
        <v>191</v>
      </c>
      <c r="V79" s="30" t="s">
        <v>192</v>
      </c>
      <c r="W79" s="148" t="s">
        <v>1088</v>
      </c>
      <c r="X79" s="26">
        <v>56988388477</v>
      </c>
      <c r="Y79" s="26" t="s">
        <v>1083</v>
      </c>
      <c r="Z79" s="30"/>
    </row>
    <row r="80" spans="1:26" hidden="1" x14ac:dyDescent="0.2">
      <c r="A80" s="22">
        <f t="shared" si="2"/>
        <v>50</v>
      </c>
      <c r="B80" s="143" t="s">
        <v>618</v>
      </c>
      <c r="C80" s="24" t="s">
        <v>871</v>
      </c>
      <c r="D80" s="24" t="s">
        <v>352</v>
      </c>
      <c r="E80" s="24" t="s">
        <v>352</v>
      </c>
      <c r="F80" s="126"/>
      <c r="G80" s="32" t="s">
        <v>87</v>
      </c>
      <c r="H80" s="24" t="s">
        <v>20</v>
      </c>
      <c r="I80" s="26" t="s">
        <v>23</v>
      </c>
      <c r="J80" s="27">
        <v>13000000</v>
      </c>
      <c r="K80" s="28">
        <v>0.09</v>
      </c>
      <c r="L80" s="27">
        <f>Tabla1[[#This Row],[Monto 1% u Aporte ]]*Tabla1[[#This Row],[Tasa Propuesta Administración OTIC]]</f>
        <v>1170000</v>
      </c>
      <c r="M80" s="171" t="s">
        <v>38</v>
      </c>
      <c r="N80" s="26" t="s">
        <v>136</v>
      </c>
      <c r="O80" s="26" t="s">
        <v>30</v>
      </c>
      <c r="P80" s="11" t="s">
        <v>95</v>
      </c>
      <c r="Q80" s="27">
        <v>0</v>
      </c>
      <c r="R80" s="27">
        <f>Tabla1[[#This Row],[Aporte Ingresado]]-Tabla1[[#This Row],[Monto 1% u Aporte ]]</f>
        <v>-13000000</v>
      </c>
      <c r="S80" s="27" t="s">
        <v>29</v>
      </c>
      <c r="T80" s="175" t="s">
        <v>969</v>
      </c>
      <c r="U80" s="26" t="s">
        <v>619</v>
      </c>
      <c r="V80" s="30" t="s">
        <v>620</v>
      </c>
      <c r="W80" s="148" t="s">
        <v>1096</v>
      </c>
      <c r="X80" s="26"/>
      <c r="Y80" s="26" t="s">
        <v>621</v>
      </c>
      <c r="Z80" s="30">
        <v>46077</v>
      </c>
    </row>
    <row r="81" spans="1:26" hidden="1" x14ac:dyDescent="0.2">
      <c r="A81" s="22">
        <f t="shared" si="2"/>
        <v>51</v>
      </c>
      <c r="B81" s="142" t="s">
        <v>712</v>
      </c>
      <c r="C81" s="24" t="s">
        <v>871</v>
      </c>
      <c r="D81" s="24" t="s">
        <v>352</v>
      </c>
      <c r="E81" s="24" t="s">
        <v>352</v>
      </c>
      <c r="F81" s="126" t="s">
        <v>699</v>
      </c>
      <c r="G81" s="182" t="s">
        <v>12</v>
      </c>
      <c r="H81" s="24" t="s">
        <v>19</v>
      </c>
      <c r="I81" s="26" t="s">
        <v>23</v>
      </c>
      <c r="J81" s="27">
        <v>12000000</v>
      </c>
      <c r="K81" s="28">
        <v>0.1</v>
      </c>
      <c r="L81" s="27">
        <f>Tabla1[[#This Row],[Monto 1% u Aporte ]]*Tabla1[[#This Row],[Tasa Propuesta Administración OTIC]]</f>
        <v>1200000</v>
      </c>
      <c r="M81" s="171" t="s">
        <v>44</v>
      </c>
      <c r="N81" s="26" t="s">
        <v>643</v>
      </c>
      <c r="O81" s="26" t="s">
        <v>30</v>
      </c>
      <c r="P81" s="11" t="s">
        <v>14</v>
      </c>
      <c r="Q81" s="27">
        <v>0</v>
      </c>
      <c r="R81" s="27">
        <f>Tabla1[[#This Row],[Aporte Ingresado]]-Tabla1[[#This Row],[Monto 1% u Aporte ]]</f>
        <v>-12000000</v>
      </c>
      <c r="S81" s="27" t="s">
        <v>29</v>
      </c>
      <c r="T81" s="175" t="s">
        <v>969</v>
      </c>
      <c r="U81" s="26" t="s">
        <v>711</v>
      </c>
      <c r="V81" s="185" t="s">
        <v>665</v>
      </c>
      <c r="W81" s="148" t="s">
        <v>1095</v>
      </c>
      <c r="X81" s="26">
        <v>56950876194</v>
      </c>
      <c r="Y81" s="26" t="s">
        <v>1083</v>
      </c>
      <c r="Z81" s="30"/>
    </row>
    <row r="82" spans="1:26" ht="15" hidden="1" customHeight="1" x14ac:dyDescent="0.2">
      <c r="A82" s="22">
        <f t="shared" si="2"/>
        <v>52</v>
      </c>
      <c r="B82" s="142" t="s">
        <v>630</v>
      </c>
      <c r="C82" s="24" t="s">
        <v>871</v>
      </c>
      <c r="D82" s="24" t="s">
        <v>352</v>
      </c>
      <c r="E82" s="24" t="s">
        <v>352</v>
      </c>
      <c r="F82" s="126"/>
      <c r="G82" s="32" t="s">
        <v>12</v>
      </c>
      <c r="H82" s="24" t="s">
        <v>20</v>
      </c>
      <c r="I82" s="26" t="s">
        <v>23</v>
      </c>
      <c r="J82" s="27">
        <v>10000000</v>
      </c>
      <c r="K82" s="28">
        <v>0.12</v>
      </c>
      <c r="L82" s="27">
        <f>Tabla1[[#This Row],[Monto 1% u Aporte ]]*Tabla1[[#This Row],[Tasa Propuesta Administración OTIC]]</f>
        <v>1200000</v>
      </c>
      <c r="M82" s="171" t="s">
        <v>68</v>
      </c>
      <c r="N82" s="26" t="s">
        <v>136</v>
      </c>
      <c r="O82" s="26" t="s">
        <v>30</v>
      </c>
      <c r="P82" s="11" t="s">
        <v>95</v>
      </c>
      <c r="Q82" s="27">
        <v>0</v>
      </c>
      <c r="R82" s="27">
        <f>Tabla1[[#This Row],[Aporte Ingresado]]-Tabla1[[#This Row],[Monto 1% u Aporte ]]</f>
        <v>-10000000</v>
      </c>
      <c r="S82" s="27" t="s">
        <v>29</v>
      </c>
      <c r="T82" s="175" t="s">
        <v>969</v>
      </c>
      <c r="U82" s="26" t="s">
        <v>632</v>
      </c>
      <c r="V82" s="185" t="s">
        <v>631</v>
      </c>
      <c r="W82" s="148" t="s">
        <v>1097</v>
      </c>
      <c r="X82" s="26"/>
      <c r="Y82" s="148" t="s">
        <v>633</v>
      </c>
      <c r="Z82" s="30">
        <v>46079</v>
      </c>
    </row>
    <row r="83" spans="1:26" hidden="1" x14ac:dyDescent="0.2">
      <c r="A83" s="22">
        <f t="shared" si="2"/>
        <v>53</v>
      </c>
      <c r="B83" s="142" t="s">
        <v>413</v>
      </c>
      <c r="C83" s="24" t="s">
        <v>871</v>
      </c>
      <c r="D83" s="24" t="s">
        <v>352</v>
      </c>
      <c r="E83" s="24" t="s">
        <v>352</v>
      </c>
      <c r="F83" s="126"/>
      <c r="G83" s="32" t="s">
        <v>12</v>
      </c>
      <c r="H83" s="24" t="s">
        <v>20</v>
      </c>
      <c r="I83" s="26" t="s">
        <v>23</v>
      </c>
      <c r="J83" s="27">
        <v>7000000</v>
      </c>
      <c r="K83" s="28">
        <v>0.08</v>
      </c>
      <c r="L83" s="27">
        <f>Tabla1[[#This Row],[Monto 1% u Aporte ]]*Tabla1[[#This Row],[Tasa Propuesta Administración OTIC]]</f>
        <v>560000</v>
      </c>
      <c r="M83" s="171" t="s">
        <v>44</v>
      </c>
      <c r="N83" s="26" t="s">
        <v>136</v>
      </c>
      <c r="O83" s="26" t="s">
        <v>30</v>
      </c>
      <c r="P83" s="11" t="s">
        <v>95</v>
      </c>
      <c r="Q83" s="27">
        <v>0</v>
      </c>
      <c r="R83" s="27">
        <f>Tabla1[[#This Row],[Aporte Ingresado]]-Tabla1[[#This Row],[Monto 1% u Aporte ]]</f>
        <v>-7000000</v>
      </c>
      <c r="S83" s="27" t="s">
        <v>29</v>
      </c>
      <c r="T83" s="175" t="s">
        <v>969</v>
      </c>
      <c r="U83" s="26" t="s">
        <v>963</v>
      </c>
      <c r="V83" s="185" t="s">
        <v>415</v>
      </c>
      <c r="W83" s="148" t="s">
        <v>1092</v>
      </c>
      <c r="X83" s="26"/>
      <c r="Y83" s="26" t="s">
        <v>1083</v>
      </c>
      <c r="Z83" s="30"/>
    </row>
    <row r="84" spans="1:26" hidden="1" x14ac:dyDescent="0.2">
      <c r="A84" s="22">
        <f t="shared" si="2"/>
        <v>54</v>
      </c>
      <c r="B84" s="23" t="s">
        <v>666</v>
      </c>
      <c r="C84" s="24" t="s">
        <v>871</v>
      </c>
      <c r="D84" s="24" t="s">
        <v>352</v>
      </c>
      <c r="E84" s="24" t="s">
        <v>352</v>
      </c>
      <c r="F84" s="126"/>
      <c r="G84" s="32" t="s">
        <v>111</v>
      </c>
      <c r="H84" s="24" t="s">
        <v>20</v>
      </c>
      <c r="I84" s="26" t="s">
        <v>23</v>
      </c>
      <c r="J84" s="27">
        <v>7000000</v>
      </c>
      <c r="K84" s="28">
        <v>7.0000000000000007E-2</v>
      </c>
      <c r="L84" s="27">
        <f>Tabla1[[#This Row],[Monto 1% u Aporte ]]*Tabla1[[#This Row],[Tasa Propuesta Administración OTIC]]</f>
        <v>490000.00000000006</v>
      </c>
      <c r="M84" s="171" t="s">
        <v>44</v>
      </c>
      <c r="N84" s="26" t="s">
        <v>643</v>
      </c>
      <c r="O84" s="26" t="s">
        <v>30</v>
      </c>
      <c r="P84" s="11" t="s">
        <v>95</v>
      </c>
      <c r="Q84" s="27">
        <v>0</v>
      </c>
      <c r="R84" s="27">
        <f>Tabla1[[#This Row],[Aporte Ingresado]]-Tabla1[[#This Row],[Monto 1% u Aporte ]]</f>
        <v>-7000000</v>
      </c>
      <c r="S84" s="27" t="s">
        <v>29</v>
      </c>
      <c r="T84" s="176" t="s">
        <v>969</v>
      </c>
      <c r="U84" s="26" t="s">
        <v>667</v>
      </c>
      <c r="V84" s="30" t="s">
        <v>668</v>
      </c>
      <c r="W84" s="148" t="s">
        <v>1093</v>
      </c>
      <c r="X84" s="26">
        <v>56944285442</v>
      </c>
      <c r="Y84" s="26" t="s">
        <v>1083</v>
      </c>
      <c r="Z84" s="30"/>
    </row>
    <row r="85" spans="1:26" hidden="1" x14ac:dyDescent="0.2">
      <c r="A85" s="22">
        <f t="shared" si="2"/>
        <v>55</v>
      </c>
      <c r="B85" s="142" t="s">
        <v>628</v>
      </c>
      <c r="C85" s="24" t="s">
        <v>871</v>
      </c>
      <c r="D85" s="24" t="s">
        <v>352</v>
      </c>
      <c r="E85" s="24" t="s">
        <v>352</v>
      </c>
      <c r="F85" s="126"/>
      <c r="G85" s="32" t="s">
        <v>12</v>
      </c>
      <c r="H85" s="24" t="s">
        <v>20</v>
      </c>
      <c r="I85" s="26" t="s">
        <v>23</v>
      </c>
      <c r="J85" s="27">
        <v>5000000</v>
      </c>
      <c r="K85" s="28">
        <v>0.12</v>
      </c>
      <c r="L85" s="27">
        <f>Tabla1[[#This Row],[Monto 1% u Aporte ]]*Tabla1[[#This Row],[Tasa Propuesta Administración OTIC]]</f>
        <v>600000</v>
      </c>
      <c r="M85" s="171" t="s">
        <v>44</v>
      </c>
      <c r="N85" s="26" t="s">
        <v>136</v>
      </c>
      <c r="O85" s="26" t="s">
        <v>30</v>
      </c>
      <c r="P85" s="11" t="s">
        <v>95</v>
      </c>
      <c r="Q85" s="27">
        <v>0</v>
      </c>
      <c r="R85" s="27">
        <f>Tabla1[[#This Row],[Aporte Ingresado]]-Tabla1[[#This Row],[Monto 1% u Aporte ]]</f>
        <v>-5000000</v>
      </c>
      <c r="S85" s="27" t="s">
        <v>29</v>
      </c>
      <c r="T85" s="175" t="s">
        <v>969</v>
      </c>
      <c r="U85" s="26" t="s">
        <v>629</v>
      </c>
      <c r="V85" s="30" t="s">
        <v>641</v>
      </c>
      <c r="W85" s="206" t="s">
        <v>1094</v>
      </c>
      <c r="X85" s="26">
        <v>56971805679</v>
      </c>
      <c r="Y85" s="26" t="s">
        <v>1083</v>
      </c>
      <c r="Z85" s="30">
        <v>46079</v>
      </c>
    </row>
    <row r="86" spans="1:26" hidden="1" x14ac:dyDescent="0.2">
      <c r="A86" s="22">
        <f t="shared" si="2"/>
        <v>56</v>
      </c>
      <c r="B86" s="143" t="s">
        <v>975</v>
      </c>
      <c r="C86" s="24" t="s">
        <v>871</v>
      </c>
      <c r="D86" s="24" t="s">
        <v>352</v>
      </c>
      <c r="E86" s="24" t="s">
        <v>352</v>
      </c>
      <c r="F86" s="126"/>
      <c r="G86" s="32" t="s">
        <v>12</v>
      </c>
      <c r="H86" s="24"/>
      <c r="I86" s="26" t="s">
        <v>23</v>
      </c>
      <c r="J86" s="27">
        <v>4585330</v>
      </c>
      <c r="K86" s="28">
        <v>0.12</v>
      </c>
      <c r="L86" s="27">
        <f>Tabla1[[#This Row],[Monto 1% u Aporte ]]*Tabla1[[#This Row],[Tasa Propuesta Administración OTIC]]</f>
        <v>550239.6</v>
      </c>
      <c r="M86" s="171" t="s">
        <v>44</v>
      </c>
      <c r="N86" s="24">
        <v>2026</v>
      </c>
      <c r="O86" s="26" t="s">
        <v>30</v>
      </c>
      <c r="P86" s="11" t="s">
        <v>95</v>
      </c>
      <c r="Q86" s="27">
        <v>0</v>
      </c>
      <c r="R86" s="27">
        <f>Tabla1[[#This Row],[Aporte Ingresado]]-Tabla1[[#This Row],[Monto 1% u Aporte ]]</f>
        <v>-4585330</v>
      </c>
      <c r="S86" s="27" t="s">
        <v>29</v>
      </c>
      <c r="T86" s="175" t="s">
        <v>969</v>
      </c>
      <c r="U86" s="26" t="s">
        <v>976</v>
      </c>
      <c r="V86" s="30" t="s">
        <v>977</v>
      </c>
      <c r="W86" s="26"/>
      <c r="X86" s="26"/>
      <c r="Y86" s="26"/>
      <c r="Z86" s="30"/>
    </row>
    <row r="87" spans="1:26" hidden="1" x14ac:dyDescent="0.2">
      <c r="A87" s="22">
        <f t="shared" si="2"/>
        <v>57</v>
      </c>
      <c r="B87" s="143" t="s">
        <v>669</v>
      </c>
      <c r="C87" s="24" t="s">
        <v>871</v>
      </c>
      <c r="D87" s="24" t="s">
        <v>352</v>
      </c>
      <c r="E87" s="24" t="s">
        <v>352</v>
      </c>
      <c r="F87" s="126"/>
      <c r="G87" s="32" t="s">
        <v>12</v>
      </c>
      <c r="H87" s="24" t="s">
        <v>20</v>
      </c>
      <c r="I87" s="26" t="s">
        <v>23</v>
      </c>
      <c r="J87" s="27">
        <v>4500000</v>
      </c>
      <c r="K87" s="28">
        <v>0.08</v>
      </c>
      <c r="L87" s="27">
        <f>Tabla1[[#This Row],[Monto 1% u Aporte ]]*Tabla1[[#This Row],[Tasa Propuesta Administración OTIC]]</f>
        <v>360000</v>
      </c>
      <c r="M87" s="171" t="s">
        <v>44</v>
      </c>
      <c r="N87" s="26" t="s">
        <v>643</v>
      </c>
      <c r="O87" s="26" t="s">
        <v>30</v>
      </c>
      <c r="P87" s="11" t="s">
        <v>95</v>
      </c>
      <c r="Q87" s="27">
        <v>0</v>
      </c>
      <c r="R87" s="27">
        <f>Tabla1[[#This Row],[Aporte Ingresado]]-Tabla1[[#This Row],[Monto 1% u Aporte ]]</f>
        <v>-4500000</v>
      </c>
      <c r="S87" s="27" t="s">
        <v>29</v>
      </c>
      <c r="T87" s="175" t="s">
        <v>969</v>
      </c>
      <c r="U87" s="26" t="s">
        <v>715</v>
      </c>
      <c r="V87" s="30" t="s">
        <v>670</v>
      </c>
      <c r="W87" s="26"/>
      <c r="X87" s="26"/>
      <c r="Y87" s="26" t="s">
        <v>716</v>
      </c>
      <c r="Z87" s="30"/>
    </row>
    <row r="88" spans="1:26" hidden="1" x14ac:dyDescent="0.2">
      <c r="A88" s="22">
        <f t="shared" si="2"/>
        <v>58</v>
      </c>
      <c r="B88" s="142" t="s">
        <v>642</v>
      </c>
      <c r="C88" s="24" t="s">
        <v>871</v>
      </c>
      <c r="D88" s="24" t="s">
        <v>352</v>
      </c>
      <c r="E88" s="24" t="s">
        <v>352</v>
      </c>
      <c r="F88" s="126"/>
      <c r="G88" s="32" t="s">
        <v>12</v>
      </c>
      <c r="H88" s="24" t="s">
        <v>20</v>
      </c>
      <c r="I88" s="26" t="s">
        <v>23</v>
      </c>
      <c r="J88" s="27">
        <v>3136934</v>
      </c>
      <c r="K88" s="28">
        <v>0.13</v>
      </c>
      <c r="L88" s="27">
        <f>Tabla1[[#This Row],[Monto 1% u Aporte ]]*Tabla1[[#This Row],[Tasa Propuesta Administración OTIC]]</f>
        <v>407801.42000000004</v>
      </c>
      <c r="M88" s="171" t="s">
        <v>68</v>
      </c>
      <c r="N88" s="26" t="s">
        <v>643</v>
      </c>
      <c r="O88" s="26" t="s">
        <v>30</v>
      </c>
      <c r="P88" s="11" t="s">
        <v>14</v>
      </c>
      <c r="Q88" s="27">
        <v>0</v>
      </c>
      <c r="R88" s="27">
        <f>Tabla1[[#This Row],[Aporte Ingresado]]-Tabla1[[#This Row],[Monto 1% u Aporte ]]</f>
        <v>-3136934</v>
      </c>
      <c r="S88" s="27" t="s">
        <v>29</v>
      </c>
      <c r="T88" s="175" t="s">
        <v>970</v>
      </c>
      <c r="U88" s="26" t="s">
        <v>644</v>
      </c>
      <c r="V88" s="185" t="s">
        <v>645</v>
      </c>
      <c r="W88" s="29"/>
      <c r="X88" s="29"/>
      <c r="Y88" s="26"/>
      <c r="Z88" s="30">
        <v>46084</v>
      </c>
    </row>
    <row r="89" spans="1:26" hidden="1" x14ac:dyDescent="0.2">
      <c r="A89" s="22">
        <f t="shared" si="2"/>
        <v>59</v>
      </c>
      <c r="B89" s="143" t="s">
        <v>729</v>
      </c>
      <c r="C89" s="24" t="s">
        <v>871</v>
      </c>
      <c r="D89" s="24" t="s">
        <v>352</v>
      </c>
      <c r="E89" s="24" t="s">
        <v>352</v>
      </c>
      <c r="F89" s="126"/>
      <c r="G89" s="32" t="s">
        <v>12</v>
      </c>
      <c r="H89" s="24" t="s">
        <v>20</v>
      </c>
      <c r="I89" s="26" t="s">
        <v>23</v>
      </c>
      <c r="J89" s="27">
        <v>2600000</v>
      </c>
      <c r="K89" s="28">
        <v>0.15</v>
      </c>
      <c r="L89" s="27">
        <f>Tabla1[[#This Row],[Monto 1% u Aporte ]]*Tabla1[[#This Row],[Tasa Propuesta Administración OTIC]]</f>
        <v>390000</v>
      </c>
      <c r="M89" s="171" t="s">
        <v>44</v>
      </c>
      <c r="N89" s="26" t="s">
        <v>718</v>
      </c>
      <c r="O89" s="26" t="s">
        <v>30</v>
      </c>
      <c r="P89" s="11" t="s">
        <v>95</v>
      </c>
      <c r="Q89" s="27">
        <v>0</v>
      </c>
      <c r="R89" s="27">
        <f>Tabla1[[#This Row],[Aporte Ingresado]]-Tabla1[[#This Row],[Monto 1% u Aporte ]]</f>
        <v>-2600000</v>
      </c>
      <c r="S89" s="27" t="s">
        <v>29</v>
      </c>
      <c r="T89" s="175" t="s">
        <v>969</v>
      </c>
      <c r="U89" s="26" t="s">
        <v>730</v>
      </c>
      <c r="V89" s="30" t="s">
        <v>731</v>
      </c>
      <c r="W89" s="26"/>
      <c r="X89" s="26"/>
      <c r="Y89" s="26"/>
      <c r="Z89" s="30">
        <v>46074</v>
      </c>
    </row>
    <row r="90" spans="1:26" hidden="1" x14ac:dyDescent="0.2">
      <c r="A90" s="22">
        <f t="shared" si="2"/>
        <v>60</v>
      </c>
      <c r="B90" s="143" t="s">
        <v>874</v>
      </c>
      <c r="C90" s="24" t="s">
        <v>871</v>
      </c>
      <c r="D90" s="24" t="s">
        <v>352</v>
      </c>
      <c r="E90" s="24" t="s">
        <v>352</v>
      </c>
      <c r="F90" s="126"/>
      <c r="G90" s="32" t="s">
        <v>12</v>
      </c>
      <c r="H90" s="24" t="s">
        <v>20</v>
      </c>
      <c r="I90" s="26" t="s">
        <v>25</v>
      </c>
      <c r="J90" s="27">
        <v>1000000</v>
      </c>
      <c r="K90" s="28">
        <v>0.15</v>
      </c>
      <c r="L90" s="27">
        <f>Tabla1[[#This Row],[Monto 1% u Aporte ]]*Tabla1[[#This Row],[Tasa Propuesta Administración OTIC]]</f>
        <v>150000</v>
      </c>
      <c r="M90" s="171" t="s">
        <v>68</v>
      </c>
      <c r="N90" s="26" t="s">
        <v>718</v>
      </c>
      <c r="O90" s="26" t="s">
        <v>30</v>
      </c>
      <c r="P90" s="11" t="s">
        <v>14</v>
      </c>
      <c r="Q90" s="27">
        <v>0</v>
      </c>
      <c r="R90" s="27">
        <f>Tabla1[[#This Row],[Aporte Ingresado]]-Tabla1[[#This Row],[Monto 1% u Aporte ]]</f>
        <v>-1000000</v>
      </c>
      <c r="S90" s="27" t="s">
        <v>29</v>
      </c>
      <c r="T90" s="175" t="s">
        <v>969</v>
      </c>
      <c r="U90" s="26" t="s">
        <v>876</v>
      </c>
      <c r="V90" s="30" t="s">
        <v>875</v>
      </c>
      <c r="W90" s="26"/>
      <c r="X90" s="26"/>
      <c r="Y90" s="26"/>
      <c r="Z90" s="30">
        <v>46133</v>
      </c>
    </row>
    <row r="91" spans="1:26" hidden="1" x14ac:dyDescent="0.2">
      <c r="A91" s="22">
        <f t="shared" si="2"/>
        <v>61</v>
      </c>
      <c r="B91" s="204" t="s">
        <v>1020</v>
      </c>
      <c r="C91" s="24" t="s">
        <v>871</v>
      </c>
      <c r="D91" s="24" t="s">
        <v>352</v>
      </c>
      <c r="E91" s="24" t="s">
        <v>352</v>
      </c>
      <c r="F91" s="126"/>
      <c r="G91" s="32" t="s">
        <v>93</v>
      </c>
      <c r="H91" s="24"/>
      <c r="I91" s="26" t="s">
        <v>24</v>
      </c>
      <c r="J91" s="27">
        <v>0</v>
      </c>
      <c r="K91" s="28">
        <v>0</v>
      </c>
      <c r="L91" s="27">
        <f>Tabla1[[#This Row],[Monto 1% u Aporte ]]*Tabla1[[#This Row],[Tasa Propuesta Administración OTIC]]</f>
        <v>0</v>
      </c>
      <c r="M91" s="171" t="s">
        <v>68</v>
      </c>
      <c r="N91" s="26">
        <v>2026</v>
      </c>
      <c r="O91" s="26" t="s">
        <v>30</v>
      </c>
      <c r="P91" s="11" t="s">
        <v>96</v>
      </c>
      <c r="Q91" s="27">
        <v>0</v>
      </c>
      <c r="R91" s="27">
        <f>Tabla1[[#This Row],[Aporte Ingresado]]-Tabla1[[#This Row],[Monto 1% u Aporte ]]</f>
        <v>0</v>
      </c>
      <c r="S91" s="27" t="s">
        <v>29</v>
      </c>
      <c r="T91" s="175" t="s">
        <v>969</v>
      </c>
      <c r="U91" s="26" t="s">
        <v>1027</v>
      </c>
      <c r="V91" s="185" t="s">
        <v>1026</v>
      </c>
      <c r="W91" s="148" t="s">
        <v>1028</v>
      </c>
      <c r="X91" s="148"/>
      <c r="Y91" s="26" t="s">
        <v>1074</v>
      </c>
      <c r="Z91" s="30"/>
    </row>
    <row r="92" spans="1:26" hidden="1" x14ac:dyDescent="0.2">
      <c r="A92" s="22">
        <f t="shared" si="2"/>
        <v>62</v>
      </c>
      <c r="B92" s="143" t="s">
        <v>60</v>
      </c>
      <c r="C92" s="24" t="s">
        <v>871</v>
      </c>
      <c r="D92" s="24" t="s">
        <v>352</v>
      </c>
      <c r="E92" s="24" t="s">
        <v>352</v>
      </c>
      <c r="F92" s="126"/>
      <c r="G92" s="32" t="s">
        <v>12</v>
      </c>
      <c r="H92" s="24" t="s">
        <v>20</v>
      </c>
      <c r="I92" s="26" t="s">
        <v>23</v>
      </c>
      <c r="J92" s="27">
        <v>0</v>
      </c>
      <c r="K92" s="28">
        <v>0</v>
      </c>
      <c r="L92" s="27">
        <f>Tabla1[[#This Row],[Monto 1% u Aporte ]]*Tabla1[[#This Row],[Tasa Propuesta Administración OTIC]]</f>
        <v>0</v>
      </c>
      <c r="M92" s="171" t="s">
        <v>44</v>
      </c>
      <c r="N92" s="26" t="s">
        <v>36</v>
      </c>
      <c r="O92" s="26" t="s">
        <v>30</v>
      </c>
      <c r="P92" s="11" t="s">
        <v>95</v>
      </c>
      <c r="Q92" s="27">
        <v>0</v>
      </c>
      <c r="R92" s="27">
        <f>Tabla1[[#This Row],[Aporte Ingresado]]-Tabla1[[#This Row],[Monto 1% u Aporte ]]</f>
        <v>0</v>
      </c>
      <c r="S92" s="27" t="s">
        <v>29</v>
      </c>
      <c r="T92" s="175" t="s">
        <v>969</v>
      </c>
      <c r="U92" s="26" t="s">
        <v>63</v>
      </c>
      <c r="V92" s="30" t="s">
        <v>62</v>
      </c>
      <c r="W92" s="26"/>
      <c r="X92" s="26"/>
      <c r="Y92" s="26" t="s">
        <v>64</v>
      </c>
      <c r="Z92" s="30">
        <v>46034</v>
      </c>
    </row>
    <row r="93" spans="1:26" hidden="1" x14ac:dyDescent="0.2">
      <c r="A93" s="22">
        <f t="shared" si="2"/>
        <v>63</v>
      </c>
      <c r="B93" s="142" t="s">
        <v>947</v>
      </c>
      <c r="C93" s="24" t="s">
        <v>871</v>
      </c>
      <c r="D93" s="24" t="s">
        <v>352</v>
      </c>
      <c r="E93" s="24" t="s">
        <v>352</v>
      </c>
      <c r="F93" s="126"/>
      <c r="G93" s="32" t="s">
        <v>12</v>
      </c>
      <c r="H93" s="24" t="s">
        <v>20</v>
      </c>
      <c r="I93" s="26" t="s">
        <v>23</v>
      </c>
      <c r="J93" s="27">
        <v>0</v>
      </c>
      <c r="K93" s="28">
        <v>0.1</v>
      </c>
      <c r="L93" s="27">
        <f>Tabla1[[#This Row],[Monto 1% u Aporte ]]*Tabla1[[#This Row],[Tasa Propuesta Administración OTIC]]</f>
        <v>0</v>
      </c>
      <c r="M93" s="171" t="s">
        <v>44</v>
      </c>
      <c r="N93" s="26" t="s">
        <v>931</v>
      </c>
      <c r="O93" s="26" t="s">
        <v>30</v>
      </c>
      <c r="P93" s="11" t="s">
        <v>95</v>
      </c>
      <c r="Q93" s="27">
        <v>0</v>
      </c>
      <c r="R93" s="27">
        <f>Tabla1[[#This Row],[Aporte Ingresado]]-Tabla1[[#This Row],[Monto 1% u Aporte ]]</f>
        <v>0</v>
      </c>
      <c r="S93" s="27" t="s">
        <v>29</v>
      </c>
      <c r="T93" s="175" t="s">
        <v>969</v>
      </c>
      <c r="U93" s="26" t="s">
        <v>948</v>
      </c>
      <c r="V93" s="30" t="s">
        <v>949</v>
      </c>
      <c r="W93" s="26"/>
      <c r="X93" s="26"/>
      <c r="Y93" s="26"/>
      <c r="Z93" s="30">
        <v>46147</v>
      </c>
    </row>
    <row r="94" spans="1:26" hidden="1" x14ac:dyDescent="0.2">
      <c r="A94" s="22">
        <f t="shared" si="2"/>
        <v>64</v>
      </c>
      <c r="B94" s="174" t="s">
        <v>417</v>
      </c>
      <c r="C94" s="24" t="s">
        <v>872</v>
      </c>
      <c r="D94" s="24" t="s">
        <v>352</v>
      </c>
      <c r="E94" s="24" t="s">
        <v>352</v>
      </c>
      <c r="F94" s="126"/>
      <c r="G94" s="32" t="s">
        <v>873</v>
      </c>
      <c r="H94" s="24"/>
      <c r="I94" s="26" t="s">
        <v>23</v>
      </c>
      <c r="J94" s="27">
        <v>13000000</v>
      </c>
      <c r="K94" s="28">
        <v>7.0000000000000007E-2</v>
      </c>
      <c r="L94" s="27">
        <f>Tabla1[[#This Row],[Monto 1% u Aporte ]]*Tabla1[[#This Row],[Tasa Propuesta Administración OTIC]]</f>
        <v>910000.00000000012</v>
      </c>
      <c r="M94" s="171" t="s">
        <v>68</v>
      </c>
      <c r="N94" s="24">
        <v>2025</v>
      </c>
      <c r="O94" s="26" t="s">
        <v>30</v>
      </c>
      <c r="P94" s="11" t="s">
        <v>1068</v>
      </c>
      <c r="Q94" s="27">
        <v>0</v>
      </c>
      <c r="R94" s="27">
        <f>Tabla1[[#This Row],[Aporte Ingresado]]-Tabla1[[#This Row],[Monto 1% u Aporte ]]</f>
        <v>-13000000</v>
      </c>
      <c r="S94" s="27" t="s">
        <v>29</v>
      </c>
      <c r="T94" s="183" t="s">
        <v>970</v>
      </c>
      <c r="U94" s="26" t="s">
        <v>418</v>
      </c>
      <c r="V94" s="30" t="s">
        <v>419</v>
      </c>
      <c r="W94" s="26"/>
      <c r="X94" s="26"/>
      <c r="Y94" s="26"/>
      <c r="Z94" s="30"/>
    </row>
    <row r="95" spans="1:26" hidden="1" x14ac:dyDescent="0.2">
      <c r="A95" s="22">
        <f t="shared" ref="A95:A126" si="3">A94+1</f>
        <v>65</v>
      </c>
      <c r="B95" s="174" t="s">
        <v>574</v>
      </c>
      <c r="C95" s="24" t="s">
        <v>872</v>
      </c>
      <c r="D95" s="24" t="s">
        <v>352</v>
      </c>
      <c r="E95" s="24" t="s">
        <v>352</v>
      </c>
      <c r="F95" s="126"/>
      <c r="G95" s="32" t="s">
        <v>873</v>
      </c>
      <c r="H95" s="24"/>
      <c r="I95" s="26" t="s">
        <v>23</v>
      </c>
      <c r="J95" s="27">
        <v>73000000</v>
      </c>
      <c r="K95" s="28">
        <v>0.04</v>
      </c>
      <c r="L95" s="27">
        <f>Tabla1[[#This Row],[Monto 1% u Aporte ]]*Tabla1[[#This Row],[Tasa Propuesta Administración OTIC]]</f>
        <v>2920000</v>
      </c>
      <c r="M95" s="26" t="s">
        <v>44</v>
      </c>
      <c r="N95" s="24">
        <v>2025</v>
      </c>
      <c r="O95" s="26" t="s">
        <v>30</v>
      </c>
      <c r="P95" s="11" t="s">
        <v>1068</v>
      </c>
      <c r="Q95" s="27">
        <v>0</v>
      </c>
      <c r="R95" s="27">
        <f>Tabla1[[#This Row],[Aporte Ingresado]]-Tabla1[[#This Row],[Monto 1% u Aporte ]]</f>
        <v>-73000000</v>
      </c>
      <c r="S95" s="27" t="s">
        <v>29</v>
      </c>
      <c r="T95" s="175" t="s">
        <v>969</v>
      </c>
      <c r="U95" s="26" t="s">
        <v>954</v>
      </c>
      <c r="V95" s="30" t="s">
        <v>953</v>
      </c>
      <c r="W95" s="26"/>
      <c r="X95" s="26"/>
      <c r="Y95" s="26"/>
      <c r="Z95" s="30"/>
    </row>
    <row r="96" spans="1:26" hidden="1" x14ac:dyDescent="0.2">
      <c r="A96" s="22">
        <f t="shared" si="3"/>
        <v>66</v>
      </c>
      <c r="B96" s="174" t="s">
        <v>518</v>
      </c>
      <c r="C96" s="24" t="s">
        <v>872</v>
      </c>
      <c r="D96" s="24" t="s">
        <v>352</v>
      </c>
      <c r="E96" s="24" t="s">
        <v>352</v>
      </c>
      <c r="F96" s="126"/>
      <c r="G96" s="32" t="s">
        <v>873</v>
      </c>
      <c r="H96" s="24"/>
      <c r="I96" s="26" t="s">
        <v>23</v>
      </c>
      <c r="J96" s="27">
        <v>2000000</v>
      </c>
      <c r="K96" s="28">
        <v>0.05</v>
      </c>
      <c r="L96" s="27">
        <f>Tabla1[[#This Row],[Monto 1% u Aporte ]]*Tabla1[[#This Row],[Tasa Propuesta Administración OTIC]]</f>
        <v>100000</v>
      </c>
      <c r="M96" s="171" t="s">
        <v>44</v>
      </c>
      <c r="N96" s="24">
        <v>2025</v>
      </c>
      <c r="O96" s="26" t="s">
        <v>30</v>
      </c>
      <c r="P96" s="11" t="s">
        <v>1068</v>
      </c>
      <c r="Q96" s="27">
        <v>0</v>
      </c>
      <c r="R96" s="27">
        <f>Tabla1[[#This Row],[Aporte Ingresado]]-Tabla1[[#This Row],[Monto 1% u Aporte ]]</f>
        <v>-2000000</v>
      </c>
      <c r="S96" s="27" t="s">
        <v>29</v>
      </c>
      <c r="T96" s="24" t="s">
        <v>352</v>
      </c>
      <c r="U96" s="26" t="s">
        <v>352</v>
      </c>
      <c r="V96" s="30" t="s">
        <v>352</v>
      </c>
      <c r="W96" s="26"/>
      <c r="X96" s="26"/>
      <c r="Y96" s="26"/>
      <c r="Z96" s="30"/>
    </row>
    <row r="97" spans="1:26" hidden="1" x14ac:dyDescent="0.2">
      <c r="A97" s="22">
        <f t="shared" si="3"/>
        <v>67</v>
      </c>
      <c r="B97" s="174" t="s">
        <v>409</v>
      </c>
      <c r="C97" s="24" t="s">
        <v>872</v>
      </c>
      <c r="D97" s="24" t="s">
        <v>352</v>
      </c>
      <c r="E97" s="24" t="s">
        <v>352</v>
      </c>
      <c r="F97" s="126"/>
      <c r="G97" s="32" t="s">
        <v>873</v>
      </c>
      <c r="H97" s="24"/>
      <c r="I97" s="26" t="s">
        <v>23</v>
      </c>
      <c r="J97" s="27">
        <v>120000000</v>
      </c>
      <c r="K97" s="28">
        <v>7.0000000000000007E-2</v>
      </c>
      <c r="L97" s="27">
        <f>Tabla1[[#This Row],[Monto 1% u Aporte ]]*Tabla1[[#This Row],[Tasa Propuesta Administración OTIC]]</f>
        <v>8400000</v>
      </c>
      <c r="M97" s="171" t="s">
        <v>44</v>
      </c>
      <c r="N97" s="24">
        <v>2025</v>
      </c>
      <c r="O97" s="26" t="s">
        <v>30</v>
      </c>
      <c r="P97" s="11" t="s">
        <v>1068</v>
      </c>
      <c r="Q97" s="27">
        <v>0</v>
      </c>
      <c r="R97" s="27">
        <f>Tabla1[[#This Row],[Aporte Ingresado]]-Tabla1[[#This Row],[Monto 1% u Aporte ]]</f>
        <v>-120000000</v>
      </c>
      <c r="S97" s="27" t="s">
        <v>29</v>
      </c>
      <c r="T97" s="175" t="s">
        <v>969</v>
      </c>
      <c r="U97" s="26" t="s">
        <v>410</v>
      </c>
      <c r="V97" s="30" t="s">
        <v>411</v>
      </c>
      <c r="W97" s="26"/>
      <c r="X97" s="26"/>
      <c r="Y97" s="26"/>
      <c r="Z97" s="30"/>
    </row>
    <row r="98" spans="1:26" hidden="1" x14ac:dyDescent="0.2">
      <c r="A98" s="22">
        <f t="shared" si="3"/>
        <v>68</v>
      </c>
      <c r="B98" s="174" t="s">
        <v>606</v>
      </c>
      <c r="C98" s="24" t="s">
        <v>872</v>
      </c>
      <c r="D98" s="24" t="s">
        <v>352</v>
      </c>
      <c r="E98" s="24" t="s">
        <v>352</v>
      </c>
      <c r="F98" s="126"/>
      <c r="G98" s="32" t="s">
        <v>873</v>
      </c>
      <c r="H98" s="24"/>
      <c r="I98" s="26" t="s">
        <v>23</v>
      </c>
      <c r="J98" s="27">
        <v>0</v>
      </c>
      <c r="K98" s="28"/>
      <c r="L98" s="27">
        <f>Tabla1[[#This Row],[Monto 1% u Aporte ]]*Tabla1[[#This Row],[Tasa Propuesta Administración OTIC]]</f>
        <v>0</v>
      </c>
      <c r="M98" s="171" t="s">
        <v>44</v>
      </c>
      <c r="N98" s="24">
        <v>2025</v>
      </c>
      <c r="O98" s="26" t="s">
        <v>30</v>
      </c>
      <c r="P98" s="11" t="s">
        <v>1068</v>
      </c>
      <c r="Q98" s="27">
        <v>0</v>
      </c>
      <c r="R98" s="27">
        <f>Tabla1[[#This Row],[Aporte Ingresado]]-Tabla1[[#This Row],[Monto 1% u Aporte ]]</f>
        <v>0</v>
      </c>
      <c r="S98" s="27" t="s">
        <v>29</v>
      </c>
      <c r="T98" s="175" t="s">
        <v>969</v>
      </c>
      <c r="U98" s="26" t="s">
        <v>607</v>
      </c>
      <c r="V98" s="30" t="s">
        <v>608</v>
      </c>
      <c r="W98" s="26"/>
      <c r="X98" s="26"/>
      <c r="Y98" s="32" t="s">
        <v>1079</v>
      </c>
      <c r="Z98" s="30"/>
    </row>
    <row r="99" spans="1:26" ht="12" hidden="1" customHeight="1" x14ac:dyDescent="0.2">
      <c r="A99" s="22">
        <f t="shared" si="3"/>
        <v>69</v>
      </c>
      <c r="B99" s="174" t="s">
        <v>468</v>
      </c>
      <c r="C99" s="24" t="s">
        <v>872</v>
      </c>
      <c r="D99" s="24" t="s">
        <v>352</v>
      </c>
      <c r="E99" s="24" t="s">
        <v>352</v>
      </c>
      <c r="F99" s="126"/>
      <c r="G99" s="32" t="s">
        <v>873</v>
      </c>
      <c r="H99" s="24"/>
      <c r="I99" s="26" t="s">
        <v>23</v>
      </c>
      <c r="J99" s="27">
        <v>10000000</v>
      </c>
      <c r="K99" s="28">
        <v>0.12</v>
      </c>
      <c r="L99" s="27">
        <f>Tabla1[[#This Row],[Monto 1% u Aporte ]]*Tabla1[[#This Row],[Tasa Propuesta Administración OTIC]]</f>
        <v>1200000</v>
      </c>
      <c r="M99" s="171" t="s">
        <v>44</v>
      </c>
      <c r="N99" s="24">
        <v>2025</v>
      </c>
      <c r="O99" s="26" t="s">
        <v>30</v>
      </c>
      <c r="P99" s="11" t="s">
        <v>1068</v>
      </c>
      <c r="Q99" s="27">
        <v>0</v>
      </c>
      <c r="R99" s="27">
        <f>Tabla1[[#This Row],[Aporte Ingresado]]-Tabla1[[#This Row],[Monto 1% u Aporte ]]</f>
        <v>-10000000</v>
      </c>
      <c r="S99" s="27" t="s">
        <v>29</v>
      </c>
      <c r="T99" s="24" t="s">
        <v>352</v>
      </c>
      <c r="U99" s="26" t="s">
        <v>352</v>
      </c>
      <c r="V99" s="30" t="s">
        <v>352</v>
      </c>
      <c r="W99" s="26"/>
      <c r="X99" s="26"/>
      <c r="Y99" s="26"/>
      <c r="Z99" s="30"/>
    </row>
    <row r="100" spans="1:26" hidden="1" x14ac:dyDescent="0.2">
      <c r="A100" s="22">
        <f t="shared" si="3"/>
        <v>70</v>
      </c>
      <c r="B100" s="174" t="s">
        <v>385</v>
      </c>
      <c r="C100" s="24" t="s">
        <v>872</v>
      </c>
      <c r="D100" s="24" t="s">
        <v>352</v>
      </c>
      <c r="E100" s="24" t="s">
        <v>352</v>
      </c>
      <c r="F100" s="126"/>
      <c r="G100" s="32" t="s">
        <v>873</v>
      </c>
      <c r="H100" s="24"/>
      <c r="I100" s="26" t="s">
        <v>23</v>
      </c>
      <c r="J100" s="27">
        <v>30000000</v>
      </c>
      <c r="K100" s="28">
        <v>0.05</v>
      </c>
      <c r="L100" s="27">
        <f>Tabla1[[#This Row],[Monto 1% u Aporte ]]*Tabla1[[#This Row],[Tasa Propuesta Administración OTIC]]</f>
        <v>1500000</v>
      </c>
      <c r="M100" s="171" t="s">
        <v>44</v>
      </c>
      <c r="N100" s="24">
        <v>2025</v>
      </c>
      <c r="O100" s="26" t="s">
        <v>30</v>
      </c>
      <c r="P100" s="11" t="s">
        <v>1068</v>
      </c>
      <c r="Q100" s="27">
        <v>0</v>
      </c>
      <c r="R100" s="27">
        <f>Tabla1[[#This Row],[Aporte Ingresado]]-Tabla1[[#This Row],[Monto 1% u Aporte ]]</f>
        <v>-30000000</v>
      </c>
      <c r="S100" s="27" t="s">
        <v>29</v>
      </c>
      <c r="T100" s="175" t="s">
        <v>969</v>
      </c>
      <c r="U100" s="26" t="s">
        <v>386</v>
      </c>
      <c r="V100" s="30" t="s">
        <v>387</v>
      </c>
      <c r="W100" s="26"/>
      <c r="X100" s="26"/>
      <c r="Y100" s="26"/>
      <c r="Z100" s="30"/>
    </row>
    <row r="101" spans="1:26" hidden="1" x14ac:dyDescent="0.2">
      <c r="A101" s="22">
        <f t="shared" si="3"/>
        <v>71</v>
      </c>
      <c r="B101" s="174" t="s">
        <v>610</v>
      </c>
      <c r="C101" s="24" t="s">
        <v>872</v>
      </c>
      <c r="D101" s="24" t="s">
        <v>352</v>
      </c>
      <c r="E101" s="24" t="s">
        <v>352</v>
      </c>
      <c r="F101" s="126"/>
      <c r="G101" s="32" t="s">
        <v>873</v>
      </c>
      <c r="H101" s="24"/>
      <c r="I101" s="26" t="s">
        <v>23</v>
      </c>
      <c r="J101" s="27">
        <v>80000000</v>
      </c>
      <c r="K101" s="28">
        <v>0.05</v>
      </c>
      <c r="L101" s="27">
        <f>Tabla1[[#This Row],[Monto 1% u Aporte ]]*Tabla1[[#This Row],[Tasa Propuesta Administración OTIC]]</f>
        <v>4000000</v>
      </c>
      <c r="M101" s="171" t="s">
        <v>68</v>
      </c>
      <c r="N101" s="24">
        <v>2025</v>
      </c>
      <c r="O101" s="26" t="s">
        <v>30</v>
      </c>
      <c r="P101" s="11" t="s">
        <v>1068</v>
      </c>
      <c r="Q101" s="27">
        <v>0</v>
      </c>
      <c r="R101" s="27">
        <f>Tabla1[[#This Row],[Aporte Ingresado]]-Tabla1[[#This Row],[Monto 1% u Aporte ]]</f>
        <v>-80000000</v>
      </c>
      <c r="S101" s="27" t="s">
        <v>29</v>
      </c>
      <c r="T101" s="175" t="s">
        <v>969</v>
      </c>
      <c r="U101" s="26" t="s">
        <v>611</v>
      </c>
      <c r="V101" s="30" t="s">
        <v>612</v>
      </c>
      <c r="W101" s="26"/>
      <c r="X101" s="26"/>
      <c r="Y101" s="26"/>
      <c r="Z101" s="30"/>
    </row>
    <row r="102" spans="1:26" hidden="1" x14ac:dyDescent="0.2">
      <c r="A102" s="22">
        <f t="shared" si="3"/>
        <v>72</v>
      </c>
      <c r="B102" s="174" t="s">
        <v>401</v>
      </c>
      <c r="C102" s="24" t="s">
        <v>872</v>
      </c>
      <c r="D102" s="24" t="s">
        <v>352</v>
      </c>
      <c r="E102" s="24" t="s">
        <v>352</v>
      </c>
      <c r="F102" s="126"/>
      <c r="G102" s="32" t="s">
        <v>873</v>
      </c>
      <c r="H102" s="24"/>
      <c r="I102" s="26" t="s">
        <v>23</v>
      </c>
      <c r="J102" s="27">
        <v>120000000</v>
      </c>
      <c r="K102" s="28">
        <v>0.15</v>
      </c>
      <c r="L102" s="27">
        <f>Tabla1[[#This Row],[Monto 1% u Aporte ]]*Tabla1[[#This Row],[Tasa Propuesta Administración OTIC]]</f>
        <v>18000000</v>
      </c>
      <c r="M102" s="171" t="s">
        <v>44</v>
      </c>
      <c r="N102" s="24">
        <v>2025</v>
      </c>
      <c r="O102" s="26" t="s">
        <v>30</v>
      </c>
      <c r="P102" s="11" t="s">
        <v>1068</v>
      </c>
      <c r="Q102" s="27">
        <v>0</v>
      </c>
      <c r="R102" s="27">
        <f>Tabla1[[#This Row],[Aporte Ingresado]]-Tabla1[[#This Row],[Monto 1% u Aporte ]]</f>
        <v>-120000000</v>
      </c>
      <c r="S102" s="27" t="s">
        <v>29</v>
      </c>
      <c r="T102" s="175" t="s">
        <v>969</v>
      </c>
      <c r="U102" s="26" t="s">
        <v>403</v>
      </c>
      <c r="V102" s="30" t="s">
        <v>404</v>
      </c>
      <c r="W102" s="26"/>
      <c r="X102" s="26"/>
      <c r="Y102" s="26"/>
      <c r="Z102" s="30"/>
    </row>
    <row r="103" spans="1:26" hidden="1" x14ac:dyDescent="0.2">
      <c r="A103" s="22">
        <f t="shared" si="3"/>
        <v>73</v>
      </c>
      <c r="B103" s="174" t="s">
        <v>383</v>
      </c>
      <c r="C103" s="24" t="s">
        <v>872</v>
      </c>
      <c r="D103" s="24" t="s">
        <v>352</v>
      </c>
      <c r="E103" s="24" t="s">
        <v>352</v>
      </c>
      <c r="F103" s="126"/>
      <c r="G103" s="32" t="s">
        <v>873</v>
      </c>
      <c r="H103" s="24"/>
      <c r="I103" s="26" t="s">
        <v>23</v>
      </c>
      <c r="J103" s="27">
        <v>7525364</v>
      </c>
      <c r="K103" s="28">
        <v>0.06</v>
      </c>
      <c r="L103" s="27">
        <f>Tabla1[[#This Row],[Monto 1% u Aporte ]]*Tabla1[[#This Row],[Tasa Propuesta Administración OTIC]]</f>
        <v>451521.83999999997</v>
      </c>
      <c r="M103" s="171" t="s">
        <v>44</v>
      </c>
      <c r="N103" s="24">
        <v>2025</v>
      </c>
      <c r="O103" s="26" t="s">
        <v>30</v>
      </c>
      <c r="P103" s="11" t="s">
        <v>1068</v>
      </c>
      <c r="Q103" s="27">
        <v>0</v>
      </c>
      <c r="R103" s="27">
        <f>Tabla1[[#This Row],[Aporte Ingresado]]-Tabla1[[#This Row],[Monto 1% u Aporte ]]</f>
        <v>-7525364</v>
      </c>
      <c r="S103" s="27" t="s">
        <v>29</v>
      </c>
      <c r="T103" s="24" t="s">
        <v>352</v>
      </c>
      <c r="U103" s="26" t="s">
        <v>352</v>
      </c>
      <c r="V103" s="30" t="s">
        <v>352</v>
      </c>
      <c r="W103" s="26"/>
      <c r="X103" s="26"/>
      <c r="Y103" s="26"/>
      <c r="Z103" s="30"/>
    </row>
    <row r="104" spans="1:26" hidden="1" x14ac:dyDescent="0.2">
      <c r="A104" s="22">
        <f t="shared" si="3"/>
        <v>74</v>
      </c>
      <c r="B104" s="174" t="s">
        <v>563</v>
      </c>
      <c r="C104" s="24" t="s">
        <v>872</v>
      </c>
      <c r="D104" s="24" t="s">
        <v>352</v>
      </c>
      <c r="E104" s="24" t="s">
        <v>352</v>
      </c>
      <c r="F104" s="126"/>
      <c r="G104" s="32" t="s">
        <v>873</v>
      </c>
      <c r="H104" s="24"/>
      <c r="I104" s="26" t="s">
        <v>23</v>
      </c>
      <c r="J104" s="27">
        <v>20000000</v>
      </c>
      <c r="K104" s="28">
        <v>0.08</v>
      </c>
      <c r="L104" s="27">
        <f>Tabla1[[#This Row],[Monto 1% u Aporte ]]*Tabla1[[#This Row],[Tasa Propuesta Administración OTIC]]</f>
        <v>1600000</v>
      </c>
      <c r="M104" s="171" t="s">
        <v>68</v>
      </c>
      <c r="N104" s="24">
        <v>2025</v>
      </c>
      <c r="O104" s="26" t="s">
        <v>30</v>
      </c>
      <c r="P104" s="11" t="s">
        <v>1068</v>
      </c>
      <c r="Q104" s="27">
        <v>0</v>
      </c>
      <c r="R104" s="27">
        <f>Tabla1[[#This Row],[Aporte Ingresado]]-Tabla1[[#This Row],[Monto 1% u Aporte ]]</f>
        <v>-20000000</v>
      </c>
      <c r="S104" s="27" t="s">
        <v>29</v>
      </c>
      <c r="T104" s="175" t="s">
        <v>969</v>
      </c>
      <c r="U104" s="26" t="s">
        <v>564</v>
      </c>
      <c r="V104" s="30" t="s">
        <v>565</v>
      </c>
      <c r="W104" s="26"/>
      <c r="X104" s="26"/>
      <c r="Y104" s="26"/>
      <c r="Z104" s="30"/>
    </row>
    <row r="105" spans="1:26" hidden="1" x14ac:dyDescent="0.2">
      <c r="A105" s="22">
        <f t="shared" si="3"/>
        <v>75</v>
      </c>
      <c r="B105" s="174" t="s">
        <v>528</v>
      </c>
      <c r="C105" s="24" t="s">
        <v>872</v>
      </c>
      <c r="D105" s="24" t="s">
        <v>352</v>
      </c>
      <c r="E105" s="24" t="s">
        <v>352</v>
      </c>
      <c r="F105" s="126"/>
      <c r="G105" s="32" t="s">
        <v>873</v>
      </c>
      <c r="H105" s="181"/>
      <c r="I105" s="26" t="s">
        <v>23</v>
      </c>
      <c r="J105" s="33">
        <v>20000000</v>
      </c>
      <c r="K105" s="34">
        <v>7.0000000000000007E-2</v>
      </c>
      <c r="L105" s="33">
        <f>Tabla1[[#This Row],[Monto 1% u Aporte ]]*Tabla1[[#This Row],[Tasa Propuesta Administración OTIC]]</f>
        <v>1400000.0000000002</v>
      </c>
      <c r="M105" s="171" t="s">
        <v>530</v>
      </c>
      <c r="N105" s="24">
        <v>2025</v>
      </c>
      <c r="O105" s="26" t="s">
        <v>30</v>
      </c>
      <c r="P105" s="11" t="s">
        <v>1068</v>
      </c>
      <c r="Q105" s="27">
        <v>0</v>
      </c>
      <c r="R105" s="33">
        <f>Tabla1[[#This Row],[Aporte Ingresado]]-Tabla1[[#This Row],[Monto 1% u Aporte ]]</f>
        <v>-20000000</v>
      </c>
      <c r="S105" s="27" t="s">
        <v>29</v>
      </c>
      <c r="T105" s="24" t="s">
        <v>352</v>
      </c>
      <c r="U105" s="26" t="s">
        <v>352</v>
      </c>
      <c r="V105" s="30" t="s">
        <v>352</v>
      </c>
      <c r="W105" s="26"/>
      <c r="X105" s="32"/>
      <c r="Y105" s="32"/>
      <c r="Z105" s="36"/>
    </row>
    <row r="106" spans="1:26" hidden="1" x14ac:dyDescent="0.2">
      <c r="A106" s="22">
        <f t="shared" si="3"/>
        <v>76</v>
      </c>
      <c r="B106" s="174" t="s">
        <v>509</v>
      </c>
      <c r="C106" s="24" t="s">
        <v>872</v>
      </c>
      <c r="D106" s="24" t="s">
        <v>352</v>
      </c>
      <c r="E106" s="24" t="s">
        <v>352</v>
      </c>
      <c r="F106" s="126"/>
      <c r="G106" s="32" t="s">
        <v>873</v>
      </c>
      <c r="H106" s="24"/>
      <c r="I106" s="26" t="s">
        <v>23</v>
      </c>
      <c r="J106" s="27">
        <v>13000000</v>
      </c>
      <c r="K106" s="28">
        <v>0.13</v>
      </c>
      <c r="L106" s="27">
        <f>Tabla1[[#This Row],[Monto 1% u Aporte ]]*Tabla1[[#This Row],[Tasa Propuesta Administración OTIC]]</f>
        <v>1690000</v>
      </c>
      <c r="M106" s="171" t="s">
        <v>68</v>
      </c>
      <c r="N106" s="24">
        <v>2025</v>
      </c>
      <c r="O106" s="26" t="s">
        <v>30</v>
      </c>
      <c r="P106" s="11" t="s">
        <v>1068</v>
      </c>
      <c r="Q106" s="27">
        <v>0</v>
      </c>
      <c r="R106" s="27">
        <f>Tabla1[[#This Row],[Aporte Ingresado]]-Tabla1[[#This Row],[Monto 1% u Aporte ]]</f>
        <v>-13000000</v>
      </c>
      <c r="S106" s="27" t="s">
        <v>29</v>
      </c>
      <c r="T106" s="175" t="s">
        <v>969</v>
      </c>
      <c r="U106" s="26" t="s">
        <v>511</v>
      </c>
      <c r="V106" s="30" t="s">
        <v>512</v>
      </c>
      <c r="W106" s="26"/>
      <c r="X106" s="26"/>
      <c r="Y106" s="26"/>
      <c r="Z106" s="30"/>
    </row>
    <row r="107" spans="1:26" hidden="1" x14ac:dyDescent="0.2">
      <c r="A107" s="22">
        <f t="shared" si="3"/>
        <v>77</v>
      </c>
      <c r="B107" s="174" t="s">
        <v>360</v>
      </c>
      <c r="C107" s="24" t="s">
        <v>872</v>
      </c>
      <c r="D107" s="24" t="s">
        <v>352</v>
      </c>
      <c r="E107" s="24" t="s">
        <v>352</v>
      </c>
      <c r="F107" s="126"/>
      <c r="G107" s="32" t="s">
        <v>873</v>
      </c>
      <c r="H107" s="24"/>
      <c r="I107" s="26" t="s">
        <v>23</v>
      </c>
      <c r="J107" s="27">
        <v>38000000</v>
      </c>
      <c r="K107" s="28">
        <v>0.06</v>
      </c>
      <c r="L107" s="27">
        <f>Tabla1[[#This Row],[Monto 1% u Aporte ]]*Tabla1[[#This Row],[Tasa Propuesta Administración OTIC]]</f>
        <v>2280000</v>
      </c>
      <c r="M107" s="26" t="s">
        <v>44</v>
      </c>
      <c r="N107" s="24">
        <v>2025</v>
      </c>
      <c r="O107" s="26" t="s">
        <v>30</v>
      </c>
      <c r="P107" s="11" t="s">
        <v>1068</v>
      </c>
      <c r="Q107" s="27">
        <v>0</v>
      </c>
      <c r="R107" s="27">
        <f>Tabla1[[#This Row],[Aporte Ingresado]]-Tabla1[[#This Row],[Monto 1% u Aporte ]]</f>
        <v>-38000000</v>
      </c>
      <c r="S107" s="27" t="s">
        <v>29</v>
      </c>
      <c r="T107" s="176" t="s">
        <v>969</v>
      </c>
      <c r="U107" s="26" t="s">
        <v>361</v>
      </c>
      <c r="V107" s="30" t="s">
        <v>362</v>
      </c>
      <c r="W107" s="26"/>
      <c r="X107" s="26"/>
      <c r="Y107" s="26"/>
      <c r="Z107" s="30"/>
    </row>
    <row r="108" spans="1:26" hidden="1" x14ac:dyDescent="0.2">
      <c r="A108" s="22">
        <f t="shared" si="3"/>
        <v>78</v>
      </c>
      <c r="B108" s="174" t="s">
        <v>475</v>
      </c>
      <c r="C108" s="24" t="s">
        <v>872</v>
      </c>
      <c r="D108" s="24" t="s">
        <v>352</v>
      </c>
      <c r="E108" s="24" t="s">
        <v>352</v>
      </c>
      <c r="F108" s="126"/>
      <c r="G108" s="32" t="s">
        <v>873</v>
      </c>
      <c r="H108" s="181"/>
      <c r="I108" s="26" t="s">
        <v>23</v>
      </c>
      <c r="J108" s="33">
        <v>10300000</v>
      </c>
      <c r="K108" s="34">
        <v>0.12</v>
      </c>
      <c r="L108" s="33">
        <f>Tabla1[[#This Row],[Monto 1% u Aporte ]]*Tabla1[[#This Row],[Tasa Propuesta Administración OTIC]]</f>
        <v>1236000</v>
      </c>
      <c r="M108" s="26" t="s">
        <v>44</v>
      </c>
      <c r="N108" s="24">
        <v>2025</v>
      </c>
      <c r="O108" s="26" t="s">
        <v>30</v>
      </c>
      <c r="P108" s="11" t="s">
        <v>1068</v>
      </c>
      <c r="Q108" s="27">
        <v>0</v>
      </c>
      <c r="R108" s="33">
        <f>Tabla1[[#This Row],[Aporte Ingresado]]-Tabla1[[#This Row],[Monto 1% u Aporte ]]</f>
        <v>-10300000</v>
      </c>
      <c r="S108" s="27" t="s">
        <v>29</v>
      </c>
      <c r="T108" s="175" t="s">
        <v>969</v>
      </c>
      <c r="U108" s="26" t="s">
        <v>476</v>
      </c>
      <c r="V108" s="30" t="s">
        <v>477</v>
      </c>
      <c r="W108" s="26"/>
      <c r="X108" s="32"/>
      <c r="Y108" s="32"/>
      <c r="Z108" s="36"/>
    </row>
    <row r="109" spans="1:26" hidden="1" x14ac:dyDescent="0.2">
      <c r="A109" s="22">
        <f t="shared" si="3"/>
        <v>79</v>
      </c>
      <c r="B109" s="174" t="s">
        <v>430</v>
      </c>
      <c r="C109" s="24" t="s">
        <v>872</v>
      </c>
      <c r="D109" s="24" t="s">
        <v>352</v>
      </c>
      <c r="E109" s="24" t="s">
        <v>352</v>
      </c>
      <c r="F109" s="126"/>
      <c r="G109" s="32" t="s">
        <v>873</v>
      </c>
      <c r="H109" s="24"/>
      <c r="I109" s="26" t="s">
        <v>23</v>
      </c>
      <c r="J109" s="27">
        <v>77000000</v>
      </c>
      <c r="K109" s="28">
        <v>0.05</v>
      </c>
      <c r="L109" s="27">
        <f>Tabla1[[#This Row],[Monto 1% u Aporte ]]*Tabla1[[#This Row],[Tasa Propuesta Administración OTIC]]</f>
        <v>3850000</v>
      </c>
      <c r="M109" s="171" t="s">
        <v>44</v>
      </c>
      <c r="N109" s="24">
        <v>2025</v>
      </c>
      <c r="O109" s="26" t="s">
        <v>30</v>
      </c>
      <c r="P109" s="11" t="s">
        <v>1068</v>
      </c>
      <c r="Q109" s="27">
        <v>0</v>
      </c>
      <c r="R109" s="27">
        <f>Tabla1[[#This Row],[Aporte Ingresado]]-Tabla1[[#This Row],[Monto 1% u Aporte ]]</f>
        <v>-77000000</v>
      </c>
      <c r="S109" s="27" t="s">
        <v>29</v>
      </c>
      <c r="T109" s="175" t="s">
        <v>969</v>
      </c>
      <c r="U109" s="26" t="s">
        <v>432</v>
      </c>
      <c r="V109" s="30" t="s">
        <v>433</v>
      </c>
      <c r="W109" s="26"/>
      <c r="X109" s="26"/>
      <c r="Y109" s="26"/>
      <c r="Z109" s="30"/>
    </row>
    <row r="110" spans="1:26" hidden="1" x14ac:dyDescent="0.2">
      <c r="A110" s="22">
        <f t="shared" si="3"/>
        <v>80</v>
      </c>
      <c r="B110" s="174" t="s">
        <v>513</v>
      </c>
      <c r="C110" s="24" t="s">
        <v>872</v>
      </c>
      <c r="D110" s="24" t="s">
        <v>352</v>
      </c>
      <c r="E110" s="24" t="s">
        <v>352</v>
      </c>
      <c r="F110" s="126"/>
      <c r="G110" s="32" t="s">
        <v>873</v>
      </c>
      <c r="H110" s="24"/>
      <c r="I110" s="26" t="s">
        <v>23</v>
      </c>
      <c r="J110" s="27">
        <v>125000000</v>
      </c>
      <c r="K110" s="28">
        <v>0.02</v>
      </c>
      <c r="L110" s="27">
        <f>Tabla1[[#This Row],[Monto 1% u Aporte ]]*Tabla1[[#This Row],[Tasa Propuesta Administración OTIC]]</f>
        <v>2500000</v>
      </c>
      <c r="M110" s="171" t="s">
        <v>514</v>
      </c>
      <c r="N110" s="24">
        <v>2025</v>
      </c>
      <c r="O110" s="26" t="s">
        <v>30</v>
      </c>
      <c r="P110" s="11" t="s">
        <v>1068</v>
      </c>
      <c r="Q110" s="27">
        <v>0</v>
      </c>
      <c r="R110" s="27">
        <f>Tabla1[[#This Row],[Aporte Ingresado]]-Tabla1[[#This Row],[Monto 1% u Aporte ]]</f>
        <v>-125000000</v>
      </c>
      <c r="S110" s="27" t="s">
        <v>29</v>
      </c>
      <c r="T110" s="175" t="s">
        <v>969</v>
      </c>
      <c r="U110" s="26" t="s">
        <v>515</v>
      </c>
      <c r="V110" s="30" t="s">
        <v>516</v>
      </c>
      <c r="W110" s="26"/>
      <c r="X110" s="26"/>
      <c r="Y110" s="26"/>
      <c r="Z110" s="30"/>
    </row>
    <row r="111" spans="1:26" hidden="1" x14ac:dyDescent="0.2">
      <c r="A111" s="22">
        <f t="shared" si="3"/>
        <v>81</v>
      </c>
      <c r="B111" s="174" t="s">
        <v>444</v>
      </c>
      <c r="C111" s="24" t="s">
        <v>872</v>
      </c>
      <c r="D111" s="24" t="s">
        <v>352</v>
      </c>
      <c r="E111" s="24" t="s">
        <v>352</v>
      </c>
      <c r="F111" s="126"/>
      <c r="G111" s="32" t="s">
        <v>873</v>
      </c>
      <c r="H111" s="24"/>
      <c r="I111" s="26" t="s">
        <v>23</v>
      </c>
      <c r="J111" s="27">
        <v>20000000</v>
      </c>
      <c r="K111" s="28">
        <v>0.125</v>
      </c>
      <c r="L111" s="27">
        <f>Tabla1[[#This Row],[Monto 1% u Aporte ]]*Tabla1[[#This Row],[Tasa Propuesta Administración OTIC]]</f>
        <v>2500000</v>
      </c>
      <c r="M111" s="171" t="s">
        <v>44</v>
      </c>
      <c r="N111" s="24">
        <v>2025</v>
      </c>
      <c r="O111" s="26" t="s">
        <v>30</v>
      </c>
      <c r="P111" s="11" t="s">
        <v>1068</v>
      </c>
      <c r="Q111" s="27">
        <v>0</v>
      </c>
      <c r="R111" s="27">
        <f>Tabla1[[#This Row],[Aporte Ingresado]]-Tabla1[[#This Row],[Monto 1% u Aporte ]]</f>
        <v>-20000000</v>
      </c>
      <c r="S111" s="27" t="s">
        <v>29</v>
      </c>
      <c r="T111" s="24" t="s">
        <v>352</v>
      </c>
      <c r="U111" s="26" t="s">
        <v>352</v>
      </c>
      <c r="V111" s="30" t="s">
        <v>352</v>
      </c>
      <c r="W111" s="26"/>
      <c r="X111" s="26"/>
      <c r="Y111" s="26"/>
      <c r="Z111" s="30"/>
    </row>
    <row r="112" spans="1:26" hidden="1" x14ac:dyDescent="0.2">
      <c r="A112" s="22">
        <f t="shared" si="3"/>
        <v>82</v>
      </c>
      <c r="B112" s="174" t="s">
        <v>485</v>
      </c>
      <c r="C112" s="24" t="s">
        <v>872</v>
      </c>
      <c r="D112" s="24" t="s">
        <v>352</v>
      </c>
      <c r="E112" s="24" t="s">
        <v>352</v>
      </c>
      <c r="F112" s="126"/>
      <c r="G112" s="32" t="s">
        <v>873</v>
      </c>
      <c r="H112" s="24"/>
      <c r="I112" s="26" t="s">
        <v>23</v>
      </c>
      <c r="J112" s="27">
        <v>20000000</v>
      </c>
      <c r="K112" s="28">
        <v>0.1</v>
      </c>
      <c r="L112" s="27">
        <f>Tabla1[[#This Row],[Monto 1% u Aporte ]]*Tabla1[[#This Row],[Tasa Propuesta Administración OTIC]]</f>
        <v>2000000</v>
      </c>
      <c r="M112" s="171" t="s">
        <v>44</v>
      </c>
      <c r="N112" s="24">
        <v>2025</v>
      </c>
      <c r="O112" s="26" t="s">
        <v>30</v>
      </c>
      <c r="P112" s="11" t="s">
        <v>1068</v>
      </c>
      <c r="Q112" s="27">
        <v>0</v>
      </c>
      <c r="R112" s="27">
        <f>Tabla1[[#This Row],[Aporte Ingresado]]-Tabla1[[#This Row],[Monto 1% u Aporte ]]</f>
        <v>-20000000</v>
      </c>
      <c r="S112" s="27" t="s">
        <v>29</v>
      </c>
      <c r="T112" s="175" t="s">
        <v>969</v>
      </c>
      <c r="U112" s="26" t="s">
        <v>486</v>
      </c>
      <c r="V112" s="30" t="s">
        <v>487</v>
      </c>
      <c r="W112" s="26"/>
      <c r="X112" s="26"/>
      <c r="Y112" s="26"/>
      <c r="Z112" s="30"/>
    </row>
    <row r="113" spans="1:26" hidden="1" x14ac:dyDescent="0.2">
      <c r="A113" s="22">
        <f t="shared" si="3"/>
        <v>83</v>
      </c>
      <c r="B113" s="174" t="s">
        <v>555</v>
      </c>
      <c r="C113" s="24" t="s">
        <v>872</v>
      </c>
      <c r="D113" s="24" t="s">
        <v>352</v>
      </c>
      <c r="E113" s="24" t="s">
        <v>352</v>
      </c>
      <c r="F113" s="126"/>
      <c r="G113" s="32" t="s">
        <v>873</v>
      </c>
      <c r="H113" s="24"/>
      <c r="I113" s="26" t="s">
        <v>23</v>
      </c>
      <c r="J113" s="27">
        <v>84000000</v>
      </c>
      <c r="K113" s="28">
        <v>0.04</v>
      </c>
      <c r="L113" s="27">
        <f>Tabla1[[#This Row],[Monto 1% u Aporte ]]*Tabla1[[#This Row],[Tasa Propuesta Administración OTIC]]</f>
        <v>3360000</v>
      </c>
      <c r="M113" s="171" t="s">
        <v>44</v>
      </c>
      <c r="N113" s="24">
        <v>2025</v>
      </c>
      <c r="O113" s="26" t="s">
        <v>30</v>
      </c>
      <c r="P113" s="11" t="s">
        <v>1068</v>
      </c>
      <c r="Q113" s="27">
        <v>0</v>
      </c>
      <c r="R113" s="27">
        <f>Tabla1[[#This Row],[Aporte Ingresado]]-Tabla1[[#This Row],[Monto 1% u Aporte ]]</f>
        <v>-84000000</v>
      </c>
      <c r="S113" s="27" t="s">
        <v>29</v>
      </c>
      <c r="T113" s="175" t="s">
        <v>969</v>
      </c>
      <c r="U113" s="26" t="s">
        <v>556</v>
      </c>
      <c r="V113" s="30" t="s">
        <v>557</v>
      </c>
      <c r="W113" s="26"/>
      <c r="X113" s="26"/>
      <c r="Y113" s="26"/>
      <c r="Z113" s="30"/>
    </row>
    <row r="114" spans="1:26" hidden="1" x14ac:dyDescent="0.2">
      <c r="A114" s="22">
        <f t="shared" si="3"/>
        <v>84</v>
      </c>
      <c r="B114" s="174" t="s">
        <v>496</v>
      </c>
      <c r="C114" s="24" t="s">
        <v>872</v>
      </c>
      <c r="D114" s="24" t="s">
        <v>352</v>
      </c>
      <c r="E114" s="24" t="s">
        <v>352</v>
      </c>
      <c r="F114" s="126"/>
      <c r="G114" s="32" t="s">
        <v>873</v>
      </c>
      <c r="H114" s="24"/>
      <c r="I114" s="26" t="s">
        <v>23</v>
      </c>
      <c r="J114" s="27">
        <v>40000000</v>
      </c>
      <c r="K114" s="28">
        <v>0.06</v>
      </c>
      <c r="L114" s="27">
        <f>Tabla1[[#This Row],[Monto 1% u Aporte ]]*Tabla1[[#This Row],[Tasa Propuesta Administración OTIC]]</f>
        <v>2400000</v>
      </c>
      <c r="M114" s="171" t="s">
        <v>44</v>
      </c>
      <c r="N114" s="24">
        <v>2025</v>
      </c>
      <c r="O114" s="26" t="s">
        <v>30</v>
      </c>
      <c r="P114" s="11" t="s">
        <v>1068</v>
      </c>
      <c r="Q114" s="27">
        <v>0</v>
      </c>
      <c r="R114" s="27">
        <f>Tabla1[[#This Row],[Aporte Ingresado]]-Tabla1[[#This Row],[Monto 1% u Aporte ]]</f>
        <v>-40000000</v>
      </c>
      <c r="S114" s="27" t="s">
        <v>29</v>
      </c>
      <c r="T114" s="175" t="s">
        <v>969</v>
      </c>
      <c r="U114" s="26" t="s">
        <v>497</v>
      </c>
      <c r="V114" s="30" t="s">
        <v>498</v>
      </c>
      <c r="W114" s="26"/>
      <c r="X114" s="26"/>
      <c r="Y114" s="26"/>
      <c r="Z114" s="30"/>
    </row>
    <row r="115" spans="1:26" hidden="1" x14ac:dyDescent="0.2">
      <c r="A115" s="22">
        <f t="shared" si="3"/>
        <v>85</v>
      </c>
      <c r="B115" s="174" t="s">
        <v>325</v>
      </c>
      <c r="C115" s="24" t="s">
        <v>872</v>
      </c>
      <c r="D115" s="24" t="s">
        <v>352</v>
      </c>
      <c r="E115" s="24" t="s">
        <v>352</v>
      </c>
      <c r="F115" s="126"/>
      <c r="G115" s="32" t="s">
        <v>873</v>
      </c>
      <c r="H115" s="24"/>
      <c r="I115" s="26" t="s">
        <v>23</v>
      </c>
      <c r="J115" s="27">
        <v>19000000</v>
      </c>
      <c r="K115" s="28">
        <v>4.4999999999999998E-2</v>
      </c>
      <c r="L115" s="27">
        <f>Tabla1[[#This Row],[Monto 1% u Aporte ]]*Tabla1[[#This Row],[Tasa Propuesta Administración OTIC]]</f>
        <v>855000</v>
      </c>
      <c r="M115" s="171" t="s">
        <v>68</v>
      </c>
      <c r="N115" s="24">
        <v>2025</v>
      </c>
      <c r="O115" s="26" t="s">
        <v>30</v>
      </c>
      <c r="P115" s="11" t="s">
        <v>1068</v>
      </c>
      <c r="Q115" s="27">
        <v>0</v>
      </c>
      <c r="R115" s="27">
        <f>Tabla1[[#This Row],[Aporte Ingresado]]-Tabla1[[#This Row],[Monto 1% u Aporte ]]</f>
        <v>-19000000</v>
      </c>
      <c r="S115" s="27" t="s">
        <v>29</v>
      </c>
      <c r="T115" s="175" t="s">
        <v>969</v>
      </c>
      <c r="U115" s="26" t="s">
        <v>326</v>
      </c>
      <c r="V115" s="30" t="s">
        <v>327</v>
      </c>
      <c r="W115" s="26"/>
      <c r="X115" s="26"/>
      <c r="Y115" s="26"/>
      <c r="Z115" s="30"/>
    </row>
    <row r="116" spans="1:26" hidden="1" x14ac:dyDescent="0.2">
      <c r="A116" s="22">
        <f t="shared" si="3"/>
        <v>86</v>
      </c>
      <c r="B116" s="174" t="s">
        <v>356</v>
      </c>
      <c r="C116" s="24" t="s">
        <v>872</v>
      </c>
      <c r="D116" s="24" t="s">
        <v>352</v>
      </c>
      <c r="E116" s="24" t="s">
        <v>352</v>
      </c>
      <c r="F116" s="126"/>
      <c r="G116" s="32" t="s">
        <v>873</v>
      </c>
      <c r="H116" s="24"/>
      <c r="I116" s="26" t="s">
        <v>23</v>
      </c>
      <c r="J116" s="27">
        <v>1940000</v>
      </c>
      <c r="K116" s="28">
        <v>0.13</v>
      </c>
      <c r="L116" s="27">
        <f>Tabla1[[#This Row],[Monto 1% u Aporte ]]*Tabla1[[#This Row],[Tasa Propuesta Administración OTIC]]</f>
        <v>252200</v>
      </c>
      <c r="M116" s="26" t="s">
        <v>44</v>
      </c>
      <c r="N116" s="24">
        <v>2025</v>
      </c>
      <c r="O116" s="26" t="s">
        <v>30</v>
      </c>
      <c r="P116" s="11" t="s">
        <v>1068</v>
      </c>
      <c r="Q116" s="27">
        <v>0</v>
      </c>
      <c r="R116" s="27">
        <f>Tabla1[[#This Row],[Aporte Ingresado]]-Tabla1[[#This Row],[Monto 1% u Aporte ]]</f>
        <v>-1940000</v>
      </c>
      <c r="S116" s="27" t="s">
        <v>29</v>
      </c>
      <c r="T116" s="175" t="s">
        <v>969</v>
      </c>
      <c r="U116" s="26" t="s">
        <v>357</v>
      </c>
      <c r="V116" s="30" t="s">
        <v>358</v>
      </c>
      <c r="W116" s="26"/>
      <c r="X116" s="26"/>
      <c r="Y116" s="26"/>
      <c r="Z116" s="30"/>
    </row>
    <row r="117" spans="1:26" hidden="1" x14ac:dyDescent="0.2">
      <c r="A117" s="22">
        <f t="shared" si="3"/>
        <v>87</v>
      </c>
      <c r="B117" s="174" t="s">
        <v>421</v>
      </c>
      <c r="C117" s="24" t="s">
        <v>872</v>
      </c>
      <c r="D117" s="24" t="s">
        <v>352</v>
      </c>
      <c r="E117" s="24" t="s">
        <v>352</v>
      </c>
      <c r="F117" s="126"/>
      <c r="G117" s="32" t="s">
        <v>873</v>
      </c>
      <c r="H117" s="24"/>
      <c r="I117" s="26" t="s">
        <v>23</v>
      </c>
      <c r="J117" s="27">
        <v>9700000</v>
      </c>
      <c r="K117" s="28">
        <v>0.1</v>
      </c>
      <c r="L117" s="27">
        <f>Tabla1[[#This Row],[Monto 1% u Aporte ]]*Tabla1[[#This Row],[Tasa Propuesta Administración OTIC]]</f>
        <v>970000</v>
      </c>
      <c r="M117" s="26" t="s">
        <v>44</v>
      </c>
      <c r="N117" s="24">
        <v>2025</v>
      </c>
      <c r="O117" s="26" t="s">
        <v>30</v>
      </c>
      <c r="P117" s="11" t="s">
        <v>1068</v>
      </c>
      <c r="Q117" s="27">
        <v>0</v>
      </c>
      <c r="R117" s="27">
        <f>Tabla1[[#This Row],[Aporte Ingresado]]-Tabla1[[#This Row],[Monto 1% u Aporte ]]</f>
        <v>-9700000</v>
      </c>
      <c r="S117" s="27" t="s">
        <v>29</v>
      </c>
      <c r="T117" s="176" t="s">
        <v>969</v>
      </c>
      <c r="U117" s="26" t="s">
        <v>422</v>
      </c>
      <c r="V117" s="30" t="s">
        <v>423</v>
      </c>
      <c r="W117" s="26"/>
      <c r="X117" s="26"/>
      <c r="Y117" s="26"/>
      <c r="Z117" s="30"/>
    </row>
    <row r="118" spans="1:26" hidden="1" x14ac:dyDescent="0.2">
      <c r="A118" s="22">
        <f t="shared" si="3"/>
        <v>88</v>
      </c>
      <c r="B118" s="174" t="s">
        <v>571</v>
      </c>
      <c r="C118" s="24" t="s">
        <v>872</v>
      </c>
      <c r="D118" s="24" t="s">
        <v>352</v>
      </c>
      <c r="E118" s="24" t="s">
        <v>352</v>
      </c>
      <c r="F118" s="126"/>
      <c r="G118" s="32" t="s">
        <v>873</v>
      </c>
      <c r="H118" s="24"/>
      <c r="I118" s="26" t="s">
        <v>23</v>
      </c>
      <c r="J118" s="27">
        <v>105000000</v>
      </c>
      <c r="K118" s="28">
        <v>0.05</v>
      </c>
      <c r="L118" s="27">
        <f>Tabla1[[#This Row],[Monto 1% u Aporte ]]*Tabla1[[#This Row],[Tasa Propuesta Administración OTIC]]</f>
        <v>5250000</v>
      </c>
      <c r="M118" s="171" t="s">
        <v>44</v>
      </c>
      <c r="N118" s="24">
        <v>2025</v>
      </c>
      <c r="O118" s="26" t="s">
        <v>30</v>
      </c>
      <c r="P118" s="11" t="s">
        <v>1068</v>
      </c>
      <c r="Q118" s="27">
        <v>0</v>
      </c>
      <c r="R118" s="27">
        <f>Tabla1[[#This Row],[Aporte Ingresado]]-Tabla1[[#This Row],[Monto 1% u Aporte ]]</f>
        <v>-105000000</v>
      </c>
      <c r="S118" s="27" t="s">
        <v>29</v>
      </c>
      <c r="T118" s="183" t="s">
        <v>970</v>
      </c>
      <c r="U118" s="26" t="s">
        <v>572</v>
      </c>
      <c r="V118" s="30" t="s">
        <v>573</v>
      </c>
      <c r="W118" s="26"/>
      <c r="X118" s="26"/>
      <c r="Y118" s="26"/>
      <c r="Z118" s="30"/>
    </row>
    <row r="119" spans="1:26" hidden="1" x14ac:dyDescent="0.2">
      <c r="A119" s="22">
        <f t="shared" si="3"/>
        <v>89</v>
      </c>
      <c r="B119" s="174" t="s">
        <v>602</v>
      </c>
      <c r="C119" s="24" t="s">
        <v>872</v>
      </c>
      <c r="D119" s="24" t="s">
        <v>352</v>
      </c>
      <c r="E119" s="24" t="s">
        <v>352</v>
      </c>
      <c r="F119" s="126"/>
      <c r="G119" s="32" t="s">
        <v>873</v>
      </c>
      <c r="H119" s="181"/>
      <c r="I119" s="26" t="s">
        <v>23</v>
      </c>
      <c r="J119" s="33">
        <v>0</v>
      </c>
      <c r="K119" s="34"/>
      <c r="L119" s="33">
        <f>Tabla1[[#This Row],[Monto 1% u Aporte ]]*Tabla1[[#This Row],[Tasa Propuesta Administración OTIC]]</f>
        <v>0</v>
      </c>
      <c r="M119" s="171" t="s">
        <v>44</v>
      </c>
      <c r="N119" s="24">
        <v>2025</v>
      </c>
      <c r="O119" s="26" t="s">
        <v>30</v>
      </c>
      <c r="P119" s="11" t="s">
        <v>1068</v>
      </c>
      <c r="Q119" s="27">
        <v>0</v>
      </c>
      <c r="R119" s="33">
        <f>Tabla1[[#This Row],[Aporte Ingresado]]-Tabla1[[#This Row],[Monto 1% u Aporte ]]</f>
        <v>0</v>
      </c>
      <c r="S119" s="27" t="s">
        <v>29</v>
      </c>
      <c r="T119" s="175" t="s">
        <v>969</v>
      </c>
      <c r="U119" s="26" t="s">
        <v>603</v>
      </c>
      <c r="V119" s="30" t="s">
        <v>604</v>
      </c>
      <c r="W119" s="26"/>
      <c r="X119" s="32"/>
      <c r="Y119" s="32"/>
      <c r="Z119" s="36"/>
    </row>
    <row r="120" spans="1:26" hidden="1" x14ac:dyDescent="0.2">
      <c r="A120" s="22">
        <f t="shared" si="3"/>
        <v>90</v>
      </c>
      <c r="B120" s="174" t="s">
        <v>705</v>
      </c>
      <c r="C120" s="24" t="s">
        <v>872</v>
      </c>
      <c r="D120" s="24" t="s">
        <v>352</v>
      </c>
      <c r="E120" s="24" t="s">
        <v>352</v>
      </c>
      <c r="F120" s="126" t="s">
        <v>699</v>
      </c>
      <c r="G120" s="32" t="s">
        <v>873</v>
      </c>
      <c r="H120" s="24" t="s">
        <v>19</v>
      </c>
      <c r="I120" s="26" t="s">
        <v>23</v>
      </c>
      <c r="J120" s="27">
        <v>120000000</v>
      </c>
      <c r="K120" s="28"/>
      <c r="L120" s="27">
        <f>Tabla1[[#This Row],[Monto 1% u Aporte ]]*Tabla1[[#This Row],[Tasa Propuesta Administración OTIC]]</f>
        <v>0</v>
      </c>
      <c r="M120" s="171" t="s">
        <v>44</v>
      </c>
      <c r="N120" s="24">
        <v>2025</v>
      </c>
      <c r="O120" s="26" t="s">
        <v>30</v>
      </c>
      <c r="P120" s="11" t="s">
        <v>1068</v>
      </c>
      <c r="Q120" s="27">
        <v>0</v>
      </c>
      <c r="R120" s="27">
        <f>Tabla1[[#This Row],[Aporte Ingresado]]-Tabla1[[#This Row],[Monto 1% u Aporte ]]</f>
        <v>-120000000</v>
      </c>
      <c r="S120" s="27" t="s">
        <v>29</v>
      </c>
      <c r="T120" s="175" t="s">
        <v>969</v>
      </c>
      <c r="U120" s="26" t="s">
        <v>507</v>
      </c>
      <c r="V120" s="30" t="s">
        <v>508</v>
      </c>
      <c r="W120" s="26"/>
      <c r="X120" s="26"/>
      <c r="Y120" s="26"/>
      <c r="Z120" s="30"/>
    </row>
    <row r="121" spans="1:26" ht="12" hidden="1" customHeight="1" x14ac:dyDescent="0.2">
      <c r="A121" s="22">
        <f t="shared" si="3"/>
        <v>91</v>
      </c>
      <c r="B121" s="174" t="s">
        <v>442</v>
      </c>
      <c r="C121" s="24" t="s">
        <v>872</v>
      </c>
      <c r="D121" s="24" t="s">
        <v>352</v>
      </c>
      <c r="E121" s="24" t="s">
        <v>352</v>
      </c>
      <c r="F121" s="126" t="s">
        <v>971</v>
      </c>
      <c r="G121" s="32" t="s">
        <v>873</v>
      </c>
      <c r="H121" s="24"/>
      <c r="I121" s="26" t="s">
        <v>23</v>
      </c>
      <c r="J121" s="27">
        <v>20000000</v>
      </c>
      <c r="K121" s="28">
        <v>0.05</v>
      </c>
      <c r="L121" s="27">
        <f>Tabla1[[#This Row],[Monto 1% u Aporte ]]*Tabla1[[#This Row],[Tasa Propuesta Administración OTIC]]</f>
        <v>1000000</v>
      </c>
      <c r="M121" s="171" t="s">
        <v>44</v>
      </c>
      <c r="N121" s="24">
        <v>2025</v>
      </c>
      <c r="O121" s="26" t="s">
        <v>30</v>
      </c>
      <c r="P121" s="11" t="s">
        <v>1068</v>
      </c>
      <c r="Q121" s="27">
        <v>0</v>
      </c>
      <c r="R121" s="27">
        <f>Tabla1[[#This Row],[Aporte Ingresado]]-Tabla1[[#This Row],[Monto 1% u Aporte ]]</f>
        <v>-20000000</v>
      </c>
      <c r="S121" s="27" t="s">
        <v>29</v>
      </c>
      <c r="T121" s="175" t="s">
        <v>969</v>
      </c>
      <c r="U121" s="26" t="s">
        <v>700</v>
      </c>
      <c r="V121" s="30" t="s">
        <v>701</v>
      </c>
      <c r="W121" s="26"/>
      <c r="X121" s="26"/>
      <c r="Y121" s="26"/>
      <c r="Z121" s="30"/>
    </row>
    <row r="122" spans="1:26" hidden="1" x14ac:dyDescent="0.2">
      <c r="A122" s="22">
        <f t="shared" si="3"/>
        <v>92</v>
      </c>
      <c r="B122" s="174" t="s">
        <v>438</v>
      </c>
      <c r="C122" s="24" t="s">
        <v>872</v>
      </c>
      <c r="D122" s="24" t="s">
        <v>352</v>
      </c>
      <c r="E122" s="24" t="s">
        <v>352</v>
      </c>
      <c r="F122" s="126"/>
      <c r="G122" s="32" t="s">
        <v>873</v>
      </c>
      <c r="H122" s="24"/>
      <c r="I122" s="26" t="s">
        <v>23</v>
      </c>
      <c r="J122" s="27">
        <v>8000000</v>
      </c>
      <c r="K122" s="28">
        <v>0.15</v>
      </c>
      <c r="L122" s="27">
        <f>Tabla1[[#This Row],[Monto 1% u Aporte ]]*Tabla1[[#This Row],[Tasa Propuesta Administración OTIC]]</f>
        <v>1200000</v>
      </c>
      <c r="M122" s="171" t="s">
        <v>44</v>
      </c>
      <c r="N122" s="24">
        <v>2025</v>
      </c>
      <c r="O122" s="26" t="s">
        <v>30</v>
      </c>
      <c r="P122" s="11" t="s">
        <v>1068</v>
      </c>
      <c r="Q122" s="27">
        <v>0</v>
      </c>
      <c r="R122" s="27">
        <f>Tabla1[[#This Row],[Aporte Ingresado]]-Tabla1[[#This Row],[Monto 1% u Aporte ]]</f>
        <v>-8000000</v>
      </c>
      <c r="S122" s="27" t="s">
        <v>29</v>
      </c>
      <c r="T122" s="175" t="s">
        <v>969</v>
      </c>
      <c r="U122" s="26" t="s">
        <v>439</v>
      </c>
      <c r="V122" s="30" t="s">
        <v>440</v>
      </c>
      <c r="W122" s="26"/>
      <c r="X122" s="26"/>
      <c r="Y122" s="26"/>
      <c r="Z122" s="30"/>
    </row>
    <row r="123" spans="1:26" hidden="1" x14ac:dyDescent="0.2">
      <c r="A123" s="22">
        <f t="shared" si="3"/>
        <v>93</v>
      </c>
      <c r="B123" s="174" t="s">
        <v>393</v>
      </c>
      <c r="C123" s="24" t="s">
        <v>872</v>
      </c>
      <c r="D123" s="24" t="s">
        <v>352</v>
      </c>
      <c r="E123" s="24" t="s">
        <v>352</v>
      </c>
      <c r="F123" s="126"/>
      <c r="G123" s="32" t="s">
        <v>873</v>
      </c>
      <c r="H123" s="24"/>
      <c r="I123" s="26" t="s">
        <v>23</v>
      </c>
      <c r="J123" s="27">
        <v>2000000</v>
      </c>
      <c r="K123" s="28">
        <v>0.15</v>
      </c>
      <c r="L123" s="27">
        <f>Tabla1[[#This Row],[Monto 1% u Aporte ]]*Tabla1[[#This Row],[Tasa Propuesta Administración OTIC]]</f>
        <v>300000</v>
      </c>
      <c r="M123" s="26" t="s">
        <v>68</v>
      </c>
      <c r="N123" s="24">
        <v>2025</v>
      </c>
      <c r="O123" s="26" t="s">
        <v>30</v>
      </c>
      <c r="P123" s="11" t="s">
        <v>1068</v>
      </c>
      <c r="Q123" s="27">
        <v>0</v>
      </c>
      <c r="R123" s="27">
        <f>Tabla1[[#This Row],[Aporte Ingresado]]-Tabla1[[#This Row],[Monto 1% u Aporte ]]</f>
        <v>-2000000</v>
      </c>
      <c r="S123" s="27" t="s">
        <v>29</v>
      </c>
      <c r="T123" s="175" t="s">
        <v>969</v>
      </c>
      <c r="U123" s="26" t="s">
        <v>394</v>
      </c>
      <c r="V123" s="30" t="s">
        <v>395</v>
      </c>
      <c r="W123" s="26"/>
      <c r="X123" s="26"/>
      <c r="Y123" s="26"/>
      <c r="Z123" s="30"/>
    </row>
    <row r="124" spans="1:26" hidden="1" x14ac:dyDescent="0.2">
      <c r="A124" s="22">
        <f t="shared" si="3"/>
        <v>94</v>
      </c>
      <c r="B124" s="174" t="s">
        <v>406</v>
      </c>
      <c r="C124" s="24" t="s">
        <v>872</v>
      </c>
      <c r="D124" s="24" t="s">
        <v>352</v>
      </c>
      <c r="E124" s="24" t="s">
        <v>352</v>
      </c>
      <c r="F124" s="126"/>
      <c r="G124" s="32" t="s">
        <v>873</v>
      </c>
      <c r="H124" s="181"/>
      <c r="I124" s="26" t="s">
        <v>23</v>
      </c>
      <c r="J124" s="33">
        <v>8900000</v>
      </c>
      <c r="K124" s="34">
        <v>0.08</v>
      </c>
      <c r="L124" s="33">
        <f>Tabla1[[#This Row],[Monto 1% u Aporte ]]*Tabla1[[#This Row],[Tasa Propuesta Administración OTIC]]</f>
        <v>712000</v>
      </c>
      <c r="M124" s="171" t="s">
        <v>44</v>
      </c>
      <c r="N124" s="24">
        <v>2025</v>
      </c>
      <c r="O124" s="26" t="s">
        <v>30</v>
      </c>
      <c r="P124" s="11" t="s">
        <v>1068</v>
      </c>
      <c r="Q124" s="27">
        <v>0</v>
      </c>
      <c r="R124" s="33">
        <f>Tabla1[[#This Row],[Aporte Ingresado]]-Tabla1[[#This Row],[Monto 1% u Aporte ]]</f>
        <v>-8900000</v>
      </c>
      <c r="S124" s="27" t="s">
        <v>29</v>
      </c>
      <c r="T124" s="175" t="s">
        <v>969</v>
      </c>
      <c r="U124" s="26" t="s">
        <v>407</v>
      </c>
      <c r="V124" s="30" t="s">
        <v>408</v>
      </c>
      <c r="W124" s="26"/>
      <c r="X124" s="32"/>
      <c r="Y124" s="32"/>
      <c r="Z124" s="36"/>
    </row>
    <row r="125" spans="1:26" hidden="1" x14ac:dyDescent="0.2">
      <c r="A125" s="22">
        <f t="shared" si="3"/>
        <v>95</v>
      </c>
      <c r="B125" s="174" t="s">
        <v>445</v>
      </c>
      <c r="C125" s="24" t="s">
        <v>872</v>
      </c>
      <c r="D125" s="24" t="s">
        <v>352</v>
      </c>
      <c r="E125" s="24" t="s">
        <v>352</v>
      </c>
      <c r="F125" s="126"/>
      <c r="G125" s="32" t="s">
        <v>873</v>
      </c>
      <c r="H125" s="24"/>
      <c r="I125" s="26" t="s">
        <v>23</v>
      </c>
      <c r="J125" s="27">
        <v>0</v>
      </c>
      <c r="K125" s="28">
        <v>7.0000000000000007E-2</v>
      </c>
      <c r="L125" s="27">
        <f>Tabla1[[#This Row],[Monto 1% u Aporte ]]*Tabla1[[#This Row],[Tasa Propuesta Administración OTIC]]</f>
        <v>0</v>
      </c>
      <c r="M125" s="26" t="s">
        <v>44</v>
      </c>
      <c r="N125" s="24">
        <v>2025</v>
      </c>
      <c r="O125" s="26" t="s">
        <v>30</v>
      </c>
      <c r="P125" s="11" t="s">
        <v>1068</v>
      </c>
      <c r="Q125" s="27">
        <v>0</v>
      </c>
      <c r="R125" s="27">
        <f>Tabla1[[#This Row],[Aporte Ingresado]]-Tabla1[[#This Row],[Monto 1% u Aporte ]]</f>
        <v>0</v>
      </c>
      <c r="S125" s="27" t="s">
        <v>29</v>
      </c>
      <c r="T125" s="175" t="s">
        <v>969</v>
      </c>
      <c r="U125" s="26" t="s">
        <v>447</v>
      </c>
      <c r="V125" s="30" t="s">
        <v>725</v>
      </c>
      <c r="W125" s="26"/>
      <c r="X125" s="26"/>
      <c r="Y125" s="26"/>
      <c r="Z125" s="30"/>
    </row>
    <row r="126" spans="1:26" hidden="1" x14ac:dyDescent="0.2">
      <c r="A126" s="22">
        <f t="shared" si="3"/>
        <v>96</v>
      </c>
      <c r="B126" s="174" t="s">
        <v>457</v>
      </c>
      <c r="C126" s="24" t="s">
        <v>872</v>
      </c>
      <c r="D126" s="24" t="s">
        <v>352</v>
      </c>
      <c r="E126" s="24" t="s">
        <v>352</v>
      </c>
      <c r="F126" s="126"/>
      <c r="G126" s="32" t="s">
        <v>873</v>
      </c>
      <c r="H126" s="24"/>
      <c r="I126" s="26" t="s">
        <v>23</v>
      </c>
      <c r="J126" s="27">
        <v>50000000</v>
      </c>
      <c r="K126" s="28">
        <v>0.04</v>
      </c>
      <c r="L126" s="27">
        <f>Tabla1[[#This Row],[Monto 1% u Aporte ]]*Tabla1[[#This Row],[Tasa Propuesta Administración OTIC]]</f>
        <v>2000000</v>
      </c>
      <c r="M126" s="171" t="s">
        <v>44</v>
      </c>
      <c r="N126" s="24">
        <v>2025</v>
      </c>
      <c r="O126" s="26" t="s">
        <v>30</v>
      </c>
      <c r="P126" s="11" t="s">
        <v>1068</v>
      </c>
      <c r="Q126" s="27">
        <v>0</v>
      </c>
      <c r="R126" s="27">
        <f>Tabla1[[#This Row],[Aporte Ingresado]]-Tabla1[[#This Row],[Monto 1% u Aporte ]]</f>
        <v>-50000000</v>
      </c>
      <c r="S126" s="27" t="s">
        <v>29</v>
      </c>
      <c r="T126" s="175" t="s">
        <v>969</v>
      </c>
      <c r="U126" s="26" t="s">
        <v>458</v>
      </c>
      <c r="V126" s="30" t="s">
        <v>459</v>
      </c>
      <c r="W126" s="26"/>
      <c r="X126" s="26"/>
      <c r="Y126" s="26"/>
      <c r="Z126" s="30"/>
    </row>
    <row r="127" spans="1:26" hidden="1" x14ac:dyDescent="0.2">
      <c r="A127" s="22">
        <f t="shared" ref="A127:A158" si="4">A126+1</f>
        <v>97</v>
      </c>
      <c r="B127" s="174" t="s">
        <v>967</v>
      </c>
      <c r="C127" s="24" t="s">
        <v>872</v>
      </c>
      <c r="D127" s="24" t="s">
        <v>352</v>
      </c>
      <c r="E127" s="24" t="s">
        <v>352</v>
      </c>
      <c r="F127" s="126"/>
      <c r="G127" s="32" t="s">
        <v>873</v>
      </c>
      <c r="H127" s="24"/>
      <c r="I127" s="26" t="s">
        <v>23</v>
      </c>
      <c r="J127" s="27">
        <v>6600000</v>
      </c>
      <c r="K127" s="28">
        <v>7.0000000000000007E-2</v>
      </c>
      <c r="L127" s="27">
        <f>Tabla1[[#This Row],[Monto 1% u Aporte ]]*Tabla1[[#This Row],[Tasa Propuesta Administración OTIC]]</f>
        <v>462000.00000000006</v>
      </c>
      <c r="M127" s="171" t="s">
        <v>44</v>
      </c>
      <c r="N127" s="24">
        <v>2025</v>
      </c>
      <c r="O127" s="26" t="s">
        <v>30</v>
      </c>
      <c r="P127" s="11" t="s">
        <v>1068</v>
      </c>
      <c r="Q127" s="27">
        <v>0</v>
      </c>
      <c r="R127" s="27">
        <f>Tabla1[[#This Row],[Aporte Ingresado]]-Tabla1[[#This Row],[Monto 1% u Aporte ]]</f>
        <v>-6600000</v>
      </c>
      <c r="S127" s="27" t="s">
        <v>29</v>
      </c>
      <c r="T127" s="175" t="s">
        <v>969</v>
      </c>
      <c r="U127" s="26" t="s">
        <v>380</v>
      </c>
      <c r="V127" s="30" t="s">
        <v>381</v>
      </c>
      <c r="W127" s="26"/>
      <c r="X127" s="26"/>
      <c r="Y127" s="26"/>
      <c r="Z127" s="30"/>
    </row>
    <row r="128" spans="1:26" hidden="1" x14ac:dyDescent="0.2">
      <c r="A128" s="22">
        <f t="shared" si="4"/>
        <v>98</v>
      </c>
      <c r="B128" s="174" t="s">
        <v>534</v>
      </c>
      <c r="C128" s="24" t="s">
        <v>872</v>
      </c>
      <c r="D128" s="24" t="s">
        <v>352</v>
      </c>
      <c r="E128" s="24" t="s">
        <v>352</v>
      </c>
      <c r="F128" s="126"/>
      <c r="G128" s="32" t="s">
        <v>873</v>
      </c>
      <c r="H128" s="24"/>
      <c r="I128" s="26" t="s">
        <v>23</v>
      </c>
      <c r="J128" s="27">
        <v>5500000</v>
      </c>
      <c r="K128" s="28">
        <v>0.1</v>
      </c>
      <c r="L128" s="27">
        <f>Tabla1[[#This Row],[Monto 1% u Aporte ]]*Tabla1[[#This Row],[Tasa Propuesta Administración OTIC]]</f>
        <v>550000</v>
      </c>
      <c r="M128" s="171" t="s">
        <v>44</v>
      </c>
      <c r="N128" s="24">
        <v>2025</v>
      </c>
      <c r="O128" s="26" t="s">
        <v>30</v>
      </c>
      <c r="P128" s="11" t="s">
        <v>1068</v>
      </c>
      <c r="Q128" s="27">
        <v>0</v>
      </c>
      <c r="R128" s="27">
        <f>Tabla1[[#This Row],[Aporte Ingresado]]-Tabla1[[#This Row],[Monto 1% u Aporte ]]</f>
        <v>-5500000</v>
      </c>
      <c r="S128" s="27" t="s">
        <v>29</v>
      </c>
      <c r="T128" s="175" t="s">
        <v>969</v>
      </c>
      <c r="U128" s="26" t="s">
        <v>535</v>
      </c>
      <c r="V128" s="30" t="s">
        <v>536</v>
      </c>
      <c r="W128" s="26"/>
      <c r="X128" s="26"/>
      <c r="Y128" s="26"/>
      <c r="Z128" s="30"/>
    </row>
    <row r="129" spans="1:26" hidden="1" x14ac:dyDescent="0.2">
      <c r="A129" s="22">
        <f t="shared" si="4"/>
        <v>99</v>
      </c>
      <c r="B129" s="174" t="s">
        <v>329</v>
      </c>
      <c r="C129" s="24" t="s">
        <v>872</v>
      </c>
      <c r="D129" s="24" t="s">
        <v>352</v>
      </c>
      <c r="E129" s="24" t="s">
        <v>352</v>
      </c>
      <c r="F129" s="126"/>
      <c r="G129" s="32" t="s">
        <v>873</v>
      </c>
      <c r="H129" s="24"/>
      <c r="I129" s="26" t="s">
        <v>23</v>
      </c>
      <c r="J129" s="27">
        <v>13000000</v>
      </c>
      <c r="K129" s="28">
        <v>0.12</v>
      </c>
      <c r="L129" s="27">
        <f>Tabla1[[#This Row],[Monto 1% u Aporte ]]*Tabla1[[#This Row],[Tasa Propuesta Administración OTIC]]</f>
        <v>1560000</v>
      </c>
      <c r="M129" s="171" t="s">
        <v>44</v>
      </c>
      <c r="N129" s="24">
        <v>2025</v>
      </c>
      <c r="O129" s="26" t="s">
        <v>30</v>
      </c>
      <c r="P129" s="11" t="s">
        <v>1068</v>
      </c>
      <c r="Q129" s="27">
        <v>0</v>
      </c>
      <c r="R129" s="27">
        <f>Tabla1[[#This Row],[Aporte Ingresado]]-Tabla1[[#This Row],[Monto 1% u Aporte ]]</f>
        <v>-13000000</v>
      </c>
      <c r="S129" s="27" t="s">
        <v>29</v>
      </c>
      <c r="T129" s="175" t="s">
        <v>969</v>
      </c>
      <c r="U129" s="26" t="s">
        <v>331</v>
      </c>
      <c r="V129" s="30" t="s">
        <v>332</v>
      </c>
      <c r="W129" s="26"/>
      <c r="X129" s="26"/>
      <c r="Y129" s="26"/>
      <c r="Z129" s="30"/>
    </row>
    <row r="130" spans="1:26" hidden="1" x14ac:dyDescent="0.2">
      <c r="A130" s="22">
        <f t="shared" si="4"/>
        <v>100</v>
      </c>
      <c r="B130" s="174" t="s">
        <v>551</v>
      </c>
      <c r="C130" s="24" t="s">
        <v>872</v>
      </c>
      <c r="D130" s="24" t="s">
        <v>352</v>
      </c>
      <c r="E130" s="24" t="s">
        <v>352</v>
      </c>
      <c r="F130" s="126"/>
      <c r="G130" s="32" t="s">
        <v>873</v>
      </c>
      <c r="H130" s="24"/>
      <c r="I130" s="26" t="s">
        <v>23</v>
      </c>
      <c r="J130" s="27">
        <v>11000000</v>
      </c>
      <c r="K130" s="28">
        <v>0.1</v>
      </c>
      <c r="L130" s="27">
        <f>Tabla1[[#This Row],[Monto 1% u Aporte ]]*Tabla1[[#This Row],[Tasa Propuesta Administración OTIC]]</f>
        <v>1100000</v>
      </c>
      <c r="M130" s="171" t="s">
        <v>44</v>
      </c>
      <c r="N130" s="24">
        <v>2025</v>
      </c>
      <c r="O130" s="26" t="s">
        <v>30</v>
      </c>
      <c r="P130" s="11" t="s">
        <v>1068</v>
      </c>
      <c r="Q130" s="27">
        <v>0</v>
      </c>
      <c r="R130" s="27">
        <f>Tabla1[[#This Row],[Aporte Ingresado]]-Tabla1[[#This Row],[Monto 1% u Aporte ]]</f>
        <v>-11000000</v>
      </c>
      <c r="S130" s="27" t="s">
        <v>29</v>
      </c>
      <c r="T130" s="176" t="s">
        <v>969</v>
      </c>
      <c r="U130" s="26" t="s">
        <v>552</v>
      </c>
      <c r="V130" s="30" t="s">
        <v>553</v>
      </c>
      <c r="W130" s="26"/>
      <c r="X130" s="26"/>
      <c r="Y130" s="26"/>
      <c r="Z130" s="30"/>
    </row>
    <row r="131" spans="1:26" hidden="1" x14ac:dyDescent="0.2">
      <c r="A131" s="22">
        <f t="shared" si="4"/>
        <v>101</v>
      </c>
      <c r="B131" s="174" t="s">
        <v>425</v>
      </c>
      <c r="C131" s="24" t="s">
        <v>872</v>
      </c>
      <c r="D131" s="24" t="s">
        <v>352</v>
      </c>
      <c r="E131" s="24" t="s">
        <v>352</v>
      </c>
      <c r="F131" s="126"/>
      <c r="G131" s="32" t="s">
        <v>873</v>
      </c>
      <c r="H131" s="24"/>
      <c r="I131" s="26" t="s">
        <v>23</v>
      </c>
      <c r="J131" s="27">
        <v>10000000</v>
      </c>
      <c r="K131" s="28">
        <v>0.12</v>
      </c>
      <c r="L131" s="27">
        <f>Tabla1[[#This Row],[Monto 1% u Aporte ]]*Tabla1[[#This Row],[Tasa Propuesta Administración OTIC]]</f>
        <v>1200000</v>
      </c>
      <c r="M131" s="171" t="s">
        <v>44</v>
      </c>
      <c r="N131" s="24">
        <v>2025</v>
      </c>
      <c r="O131" s="26" t="s">
        <v>30</v>
      </c>
      <c r="P131" s="11" t="s">
        <v>1068</v>
      </c>
      <c r="Q131" s="27">
        <v>0</v>
      </c>
      <c r="R131" s="27">
        <f>Tabla1[[#This Row],[Aporte Ingresado]]-Tabla1[[#This Row],[Monto 1% u Aporte ]]</f>
        <v>-10000000</v>
      </c>
      <c r="S131" s="27" t="s">
        <v>29</v>
      </c>
      <c r="T131" s="175" t="s">
        <v>969</v>
      </c>
      <c r="U131" s="26" t="s">
        <v>427</v>
      </c>
      <c r="V131" s="30" t="s">
        <v>428</v>
      </c>
      <c r="W131" s="26"/>
      <c r="X131" s="26"/>
      <c r="Y131" s="26"/>
      <c r="Z131" s="30"/>
    </row>
    <row r="132" spans="1:26" hidden="1" x14ac:dyDescent="0.2">
      <c r="A132" s="22">
        <f t="shared" si="4"/>
        <v>102</v>
      </c>
      <c r="B132" s="174" t="s">
        <v>537</v>
      </c>
      <c r="C132" s="24" t="s">
        <v>872</v>
      </c>
      <c r="D132" s="24" t="s">
        <v>352</v>
      </c>
      <c r="E132" s="24" t="s">
        <v>352</v>
      </c>
      <c r="F132" s="126"/>
      <c r="G132" s="32" t="s">
        <v>873</v>
      </c>
      <c r="H132" s="24"/>
      <c r="I132" s="26" t="s">
        <v>23</v>
      </c>
      <c r="J132" s="27">
        <v>40000000</v>
      </c>
      <c r="K132" s="28">
        <v>0.1</v>
      </c>
      <c r="L132" s="27">
        <f>Tabla1[[#This Row],[Monto 1% u Aporte ]]*Tabla1[[#This Row],[Tasa Propuesta Administración OTIC]]</f>
        <v>4000000</v>
      </c>
      <c r="M132" s="171" t="s">
        <v>44</v>
      </c>
      <c r="N132" s="24">
        <v>2025</v>
      </c>
      <c r="O132" s="26" t="s">
        <v>30</v>
      </c>
      <c r="P132" s="11" t="s">
        <v>1068</v>
      </c>
      <c r="Q132" s="27">
        <v>0</v>
      </c>
      <c r="R132" s="27">
        <f>Tabla1[[#This Row],[Aporte Ingresado]]-Tabla1[[#This Row],[Monto 1% u Aporte ]]</f>
        <v>-40000000</v>
      </c>
      <c r="S132" s="27" t="s">
        <v>29</v>
      </c>
      <c r="T132" s="24" t="s">
        <v>352</v>
      </c>
      <c r="U132" s="26" t="s">
        <v>352</v>
      </c>
      <c r="V132" s="30" t="s">
        <v>352</v>
      </c>
      <c r="W132" s="26"/>
      <c r="X132" s="26"/>
      <c r="Y132" s="26"/>
      <c r="Z132" s="30"/>
    </row>
    <row r="133" spans="1:26" hidden="1" x14ac:dyDescent="0.2">
      <c r="A133" s="22">
        <f t="shared" si="4"/>
        <v>103</v>
      </c>
      <c r="B133" s="174" t="s">
        <v>489</v>
      </c>
      <c r="C133" s="24" t="s">
        <v>872</v>
      </c>
      <c r="D133" s="24" t="s">
        <v>352</v>
      </c>
      <c r="E133" s="24" t="s">
        <v>352</v>
      </c>
      <c r="F133" s="126"/>
      <c r="G133" s="32" t="s">
        <v>873</v>
      </c>
      <c r="H133" s="24"/>
      <c r="I133" s="26" t="s">
        <v>23</v>
      </c>
      <c r="J133" s="27">
        <v>15000000</v>
      </c>
      <c r="K133" s="28">
        <v>7.0000000000000007E-2</v>
      </c>
      <c r="L133" s="27">
        <f>Tabla1[[#This Row],[Monto 1% u Aporte ]]*Tabla1[[#This Row],[Tasa Propuesta Administración OTIC]]</f>
        <v>1050000</v>
      </c>
      <c r="M133" s="171" t="s">
        <v>44</v>
      </c>
      <c r="N133" s="24">
        <v>2025</v>
      </c>
      <c r="O133" s="26" t="s">
        <v>30</v>
      </c>
      <c r="P133" s="11" t="s">
        <v>1068</v>
      </c>
      <c r="Q133" s="27">
        <v>0</v>
      </c>
      <c r="R133" s="27">
        <f>Tabla1[[#This Row],[Aporte Ingresado]]-Tabla1[[#This Row],[Monto 1% u Aporte ]]</f>
        <v>-15000000</v>
      </c>
      <c r="S133" s="27" t="s">
        <v>29</v>
      </c>
      <c r="T133" s="175" t="s">
        <v>969</v>
      </c>
      <c r="U133" s="26" t="s">
        <v>490</v>
      </c>
      <c r="V133" s="30" t="s">
        <v>491</v>
      </c>
      <c r="W133" s="26"/>
      <c r="X133" s="26"/>
      <c r="Y133" s="26"/>
      <c r="Z133" s="30"/>
    </row>
    <row r="134" spans="1:26" hidden="1" x14ac:dyDescent="0.2">
      <c r="A134" s="22">
        <f t="shared" si="4"/>
        <v>104</v>
      </c>
      <c r="B134" s="174" t="s">
        <v>449</v>
      </c>
      <c r="C134" s="24" t="s">
        <v>872</v>
      </c>
      <c r="D134" s="24" t="s">
        <v>352</v>
      </c>
      <c r="E134" s="24" t="s">
        <v>352</v>
      </c>
      <c r="F134" s="126"/>
      <c r="G134" s="32" t="s">
        <v>873</v>
      </c>
      <c r="H134" s="24"/>
      <c r="I134" s="26" t="s">
        <v>23</v>
      </c>
      <c r="J134" s="27">
        <v>0</v>
      </c>
      <c r="K134" s="28">
        <v>0.05</v>
      </c>
      <c r="L134" s="27">
        <f>Tabla1[[#This Row],[Monto 1% u Aporte ]]*Tabla1[[#This Row],[Tasa Propuesta Administración OTIC]]</f>
        <v>0</v>
      </c>
      <c r="M134" s="171" t="s">
        <v>44</v>
      </c>
      <c r="N134" s="24">
        <v>2025</v>
      </c>
      <c r="O134" s="26" t="s">
        <v>30</v>
      </c>
      <c r="P134" s="11" t="s">
        <v>1068</v>
      </c>
      <c r="Q134" s="27">
        <v>0</v>
      </c>
      <c r="R134" s="27">
        <f>Tabla1[[#This Row],[Aporte Ingresado]]-Tabla1[[#This Row],[Monto 1% u Aporte ]]</f>
        <v>0</v>
      </c>
      <c r="S134" s="27" t="s">
        <v>29</v>
      </c>
      <c r="T134" s="175" t="s">
        <v>969</v>
      </c>
      <c r="U134" s="26" t="s">
        <v>452</v>
      </c>
      <c r="V134" s="30" t="s">
        <v>453</v>
      </c>
      <c r="W134" s="26"/>
      <c r="X134" s="26"/>
      <c r="Y134" s="26"/>
      <c r="Z134" s="30"/>
    </row>
    <row r="135" spans="1:26" hidden="1" x14ac:dyDescent="0.2">
      <c r="A135" s="22">
        <f t="shared" si="4"/>
        <v>105</v>
      </c>
      <c r="B135" s="174" t="s">
        <v>492</v>
      </c>
      <c r="C135" s="24" t="s">
        <v>872</v>
      </c>
      <c r="D135" s="24" t="s">
        <v>352</v>
      </c>
      <c r="E135" s="24" t="s">
        <v>352</v>
      </c>
      <c r="F135" s="126" t="s">
        <v>699</v>
      </c>
      <c r="G135" s="32" t="s">
        <v>873</v>
      </c>
      <c r="H135" s="24" t="s">
        <v>19</v>
      </c>
      <c r="I135" s="26" t="s">
        <v>23</v>
      </c>
      <c r="J135" s="27">
        <v>14932428</v>
      </c>
      <c r="K135" s="28">
        <v>0.08</v>
      </c>
      <c r="L135" s="27">
        <f>Tabla1[[#This Row],[Monto 1% u Aporte ]]*Tabla1[[#This Row],[Tasa Propuesta Administración OTIC]]</f>
        <v>1194594.24</v>
      </c>
      <c r="M135" s="171" t="s">
        <v>44</v>
      </c>
      <c r="N135" s="24">
        <v>2025</v>
      </c>
      <c r="O135" s="26" t="s">
        <v>30</v>
      </c>
      <c r="P135" s="11" t="s">
        <v>1068</v>
      </c>
      <c r="Q135" s="27">
        <v>0</v>
      </c>
      <c r="R135" s="27">
        <f>Tabla1[[#This Row],[Aporte Ingresado]]-Tabla1[[#This Row],[Monto 1% u Aporte ]]</f>
        <v>-14932428</v>
      </c>
      <c r="S135" s="27" t="s">
        <v>29</v>
      </c>
      <c r="T135" s="176" t="s">
        <v>969</v>
      </c>
      <c r="U135" s="26" t="s">
        <v>494</v>
      </c>
      <c r="V135" s="30" t="s">
        <v>495</v>
      </c>
      <c r="W135" s="26"/>
      <c r="X135" s="26"/>
      <c r="Y135" s="26"/>
      <c r="Z135" s="30"/>
    </row>
    <row r="136" spans="1:26" hidden="1" x14ac:dyDescent="0.2">
      <c r="A136" s="22">
        <f t="shared" si="4"/>
        <v>106</v>
      </c>
      <c r="B136" s="174" t="s">
        <v>597</v>
      </c>
      <c r="C136" s="24" t="s">
        <v>872</v>
      </c>
      <c r="D136" s="24" t="s">
        <v>352</v>
      </c>
      <c r="E136" s="24" t="s">
        <v>352</v>
      </c>
      <c r="F136" s="126"/>
      <c r="G136" s="32" t="s">
        <v>873</v>
      </c>
      <c r="H136" s="24"/>
      <c r="I136" s="26" t="s">
        <v>23</v>
      </c>
      <c r="J136" s="27">
        <v>0</v>
      </c>
      <c r="K136" s="28"/>
      <c r="L136" s="27">
        <f>Tabla1[[#This Row],[Monto 1% u Aporte ]]*Tabla1[[#This Row],[Tasa Propuesta Administración OTIC]]</f>
        <v>0</v>
      </c>
      <c r="M136" s="171" t="s">
        <v>44</v>
      </c>
      <c r="N136" s="24">
        <v>2025</v>
      </c>
      <c r="O136" s="26" t="s">
        <v>30</v>
      </c>
      <c r="P136" s="11" t="s">
        <v>1068</v>
      </c>
      <c r="Q136" s="27">
        <v>0</v>
      </c>
      <c r="R136" s="27">
        <f>Tabla1[[#This Row],[Aporte Ingresado]]-Tabla1[[#This Row],[Monto 1% u Aporte ]]</f>
        <v>0</v>
      </c>
      <c r="S136" s="27" t="s">
        <v>29</v>
      </c>
      <c r="T136" s="175" t="s">
        <v>969</v>
      </c>
      <c r="U136" s="26" t="s">
        <v>599</v>
      </c>
      <c r="V136" s="30" t="s">
        <v>600</v>
      </c>
      <c r="W136" s="26"/>
      <c r="X136" s="26"/>
      <c r="Y136" s="26"/>
      <c r="Z136" s="30"/>
    </row>
    <row r="137" spans="1:26" hidden="1" x14ac:dyDescent="0.2">
      <c r="A137" s="22">
        <f t="shared" si="4"/>
        <v>107</v>
      </c>
      <c r="B137" s="174" t="s">
        <v>397</v>
      </c>
      <c r="C137" s="24" t="s">
        <v>872</v>
      </c>
      <c r="D137" s="24" t="s">
        <v>352</v>
      </c>
      <c r="E137" s="24" t="s">
        <v>352</v>
      </c>
      <c r="F137" s="126"/>
      <c r="G137" s="32" t="s">
        <v>873</v>
      </c>
      <c r="H137" s="24"/>
      <c r="I137" s="26" t="s">
        <v>23</v>
      </c>
      <c r="J137" s="27">
        <v>9000000</v>
      </c>
      <c r="K137" s="28">
        <v>0.1</v>
      </c>
      <c r="L137" s="27">
        <f>Tabla1[[#This Row],[Monto 1% u Aporte ]]*Tabla1[[#This Row],[Tasa Propuesta Administración OTIC]]</f>
        <v>900000</v>
      </c>
      <c r="M137" s="171" t="s">
        <v>44</v>
      </c>
      <c r="N137" s="24">
        <v>2025</v>
      </c>
      <c r="O137" s="26" t="s">
        <v>30</v>
      </c>
      <c r="P137" s="11" t="s">
        <v>1068</v>
      </c>
      <c r="Q137" s="27">
        <v>0</v>
      </c>
      <c r="R137" s="27">
        <f>Tabla1[[#This Row],[Aporte Ingresado]]-Tabla1[[#This Row],[Monto 1% u Aporte ]]</f>
        <v>-9000000</v>
      </c>
      <c r="S137" s="27" t="s">
        <v>29</v>
      </c>
      <c r="T137" s="175" t="s">
        <v>969</v>
      </c>
      <c r="U137" s="26" t="s">
        <v>398</v>
      </c>
      <c r="V137" s="30" t="s">
        <v>399</v>
      </c>
      <c r="W137" s="26"/>
      <c r="X137" s="26"/>
      <c r="Y137" s="26"/>
      <c r="Z137" s="30"/>
    </row>
    <row r="138" spans="1:26" hidden="1" x14ac:dyDescent="0.2">
      <c r="A138" s="22">
        <f t="shared" si="4"/>
        <v>108</v>
      </c>
      <c r="B138" s="174" t="s">
        <v>499</v>
      </c>
      <c r="C138" s="24" t="s">
        <v>872</v>
      </c>
      <c r="D138" s="24" t="s">
        <v>352</v>
      </c>
      <c r="E138" s="24" t="s">
        <v>352</v>
      </c>
      <c r="F138" s="126"/>
      <c r="G138" s="32" t="s">
        <v>873</v>
      </c>
      <c r="H138" s="24"/>
      <c r="I138" s="26" t="s">
        <v>23</v>
      </c>
      <c r="J138" s="27">
        <v>3700000</v>
      </c>
      <c r="K138" s="28">
        <v>0.15</v>
      </c>
      <c r="L138" s="27">
        <f>Tabla1[[#This Row],[Monto 1% u Aporte ]]*Tabla1[[#This Row],[Tasa Propuesta Administración OTIC]]</f>
        <v>555000</v>
      </c>
      <c r="M138" s="171" t="s">
        <v>68</v>
      </c>
      <c r="N138" s="24">
        <v>2025</v>
      </c>
      <c r="O138" s="26" t="s">
        <v>30</v>
      </c>
      <c r="P138" s="11" t="s">
        <v>1068</v>
      </c>
      <c r="Q138" s="27">
        <v>0</v>
      </c>
      <c r="R138" s="27">
        <f>Tabla1[[#This Row],[Aporte Ingresado]]-Tabla1[[#This Row],[Monto 1% u Aporte ]]</f>
        <v>-3700000</v>
      </c>
      <c r="S138" s="27" t="s">
        <v>29</v>
      </c>
      <c r="T138" s="175" t="s">
        <v>969</v>
      </c>
      <c r="U138" s="26" t="s">
        <v>500</v>
      </c>
      <c r="V138" s="30" t="s">
        <v>501</v>
      </c>
      <c r="W138" s="26"/>
      <c r="X138" s="26"/>
      <c r="Y138" s="26"/>
      <c r="Z138" s="30"/>
    </row>
    <row r="139" spans="1:26" hidden="1" x14ac:dyDescent="0.2">
      <c r="A139" s="22">
        <f t="shared" si="4"/>
        <v>109</v>
      </c>
      <c r="B139" s="174" t="s">
        <v>376</v>
      </c>
      <c r="C139" s="24" t="s">
        <v>872</v>
      </c>
      <c r="D139" s="24" t="s">
        <v>352</v>
      </c>
      <c r="E139" s="24" t="s">
        <v>352</v>
      </c>
      <c r="F139" s="126"/>
      <c r="G139" s="32" t="s">
        <v>873</v>
      </c>
      <c r="H139" s="24"/>
      <c r="I139" s="26" t="s">
        <v>23</v>
      </c>
      <c r="J139" s="27">
        <v>5000000</v>
      </c>
      <c r="K139" s="28">
        <v>7.0000000000000007E-2</v>
      </c>
      <c r="L139" s="27">
        <f>Tabla1[[#This Row],[Monto 1% u Aporte ]]*Tabla1[[#This Row],[Tasa Propuesta Administración OTIC]]</f>
        <v>350000.00000000006</v>
      </c>
      <c r="M139" s="26" t="s">
        <v>44</v>
      </c>
      <c r="N139" s="24">
        <v>2025</v>
      </c>
      <c r="O139" s="26" t="s">
        <v>30</v>
      </c>
      <c r="P139" s="11" t="s">
        <v>1068</v>
      </c>
      <c r="Q139" s="27">
        <v>0</v>
      </c>
      <c r="R139" s="27">
        <f>Tabla1[[#This Row],[Aporte Ingresado]]-Tabla1[[#This Row],[Monto 1% u Aporte ]]</f>
        <v>-5000000</v>
      </c>
      <c r="S139" s="27" t="s">
        <v>29</v>
      </c>
      <c r="T139" s="175" t="s">
        <v>969</v>
      </c>
      <c r="U139" s="26" t="s">
        <v>377</v>
      </c>
      <c r="V139" s="30" t="s">
        <v>378</v>
      </c>
      <c r="W139" s="26"/>
      <c r="X139" s="26"/>
      <c r="Y139" s="26"/>
      <c r="Z139" s="30"/>
    </row>
    <row r="140" spans="1:26" hidden="1" x14ac:dyDescent="0.2">
      <c r="A140" s="22">
        <f t="shared" si="4"/>
        <v>110</v>
      </c>
      <c r="B140" s="174" t="s">
        <v>503</v>
      </c>
      <c r="C140" s="24" t="s">
        <v>872</v>
      </c>
      <c r="D140" s="24" t="s">
        <v>352</v>
      </c>
      <c r="E140" s="24" t="s">
        <v>352</v>
      </c>
      <c r="F140" s="126"/>
      <c r="G140" s="32" t="s">
        <v>873</v>
      </c>
      <c r="H140" s="24"/>
      <c r="I140" s="26" t="s">
        <v>23</v>
      </c>
      <c r="J140" s="27">
        <v>8000000</v>
      </c>
      <c r="K140" s="28">
        <v>0.09</v>
      </c>
      <c r="L140" s="27">
        <f>Tabla1[[#This Row],[Monto 1% u Aporte ]]*Tabla1[[#This Row],[Tasa Propuesta Administración OTIC]]</f>
        <v>720000</v>
      </c>
      <c r="M140" s="26" t="s">
        <v>68</v>
      </c>
      <c r="N140" s="24">
        <v>2025</v>
      </c>
      <c r="O140" s="26" t="s">
        <v>30</v>
      </c>
      <c r="P140" s="11" t="s">
        <v>1068</v>
      </c>
      <c r="Q140" s="27">
        <v>0</v>
      </c>
      <c r="R140" s="27">
        <f>Tabla1[[#This Row],[Aporte Ingresado]]-Tabla1[[#This Row],[Monto 1% u Aporte ]]</f>
        <v>-8000000</v>
      </c>
      <c r="S140" s="27" t="s">
        <v>29</v>
      </c>
      <c r="T140" s="175" t="s">
        <v>969</v>
      </c>
      <c r="U140" s="26" t="s">
        <v>504</v>
      </c>
      <c r="V140" s="30" t="s">
        <v>505</v>
      </c>
      <c r="W140" s="26"/>
      <c r="X140" s="26"/>
      <c r="Y140" s="26"/>
      <c r="Z140" s="30"/>
    </row>
    <row r="141" spans="1:26" hidden="1" x14ac:dyDescent="0.2">
      <c r="A141" s="22">
        <f t="shared" si="4"/>
        <v>111</v>
      </c>
      <c r="B141" s="180" t="s">
        <v>698</v>
      </c>
      <c r="C141" s="24" t="s">
        <v>872</v>
      </c>
      <c r="D141" s="24" t="s">
        <v>352</v>
      </c>
      <c r="E141" s="24" t="s">
        <v>352</v>
      </c>
      <c r="F141" s="126"/>
      <c r="G141" s="32" t="s">
        <v>873</v>
      </c>
      <c r="H141" s="24"/>
      <c r="I141" s="26" t="s">
        <v>23</v>
      </c>
      <c r="J141" s="27">
        <v>260000000</v>
      </c>
      <c r="K141" s="28">
        <v>0.09</v>
      </c>
      <c r="L141" s="27">
        <f>Tabla1[[#This Row],[Monto 1% u Aporte ]]*Tabla1[[#This Row],[Tasa Propuesta Administración OTIC]]</f>
        <v>23400000</v>
      </c>
      <c r="M141" s="26" t="s">
        <v>44</v>
      </c>
      <c r="N141" s="24">
        <v>2025</v>
      </c>
      <c r="O141" s="26" t="s">
        <v>30</v>
      </c>
      <c r="P141" s="11" t="s">
        <v>1068</v>
      </c>
      <c r="Q141" s="27">
        <v>0</v>
      </c>
      <c r="R141" s="27">
        <f>Tabla1[[#This Row],[Aporte Ingresado]]-Tabla1[[#This Row],[Monto 1% u Aporte ]]</f>
        <v>-260000000</v>
      </c>
      <c r="S141" s="27" t="s">
        <v>29</v>
      </c>
      <c r="T141" s="183" t="s">
        <v>970</v>
      </c>
      <c r="U141" s="26" t="s">
        <v>390</v>
      </c>
      <c r="V141" s="30" t="s">
        <v>391</v>
      </c>
      <c r="W141" s="26"/>
      <c r="X141" s="26"/>
      <c r="Y141" s="26"/>
      <c r="Z141" s="30"/>
    </row>
    <row r="142" spans="1:26" hidden="1" x14ac:dyDescent="0.2">
      <c r="A142" s="22">
        <f t="shared" si="4"/>
        <v>112</v>
      </c>
      <c r="B142" s="174" t="s">
        <v>469</v>
      </c>
      <c r="C142" s="24" t="s">
        <v>872</v>
      </c>
      <c r="D142" s="24" t="s">
        <v>352</v>
      </c>
      <c r="E142" s="24" t="s">
        <v>352</v>
      </c>
      <c r="F142" s="126"/>
      <c r="G142" s="32" t="s">
        <v>873</v>
      </c>
      <c r="H142" s="24"/>
      <c r="I142" s="26" t="s">
        <v>23</v>
      </c>
      <c r="J142" s="27">
        <v>1900000</v>
      </c>
      <c r="K142" s="28">
        <v>0.15</v>
      </c>
      <c r="L142" s="27">
        <f>Tabla1[[#This Row],[Monto 1% u Aporte ]]*Tabla1[[#This Row],[Tasa Propuesta Administración OTIC]]</f>
        <v>285000</v>
      </c>
      <c r="M142" s="171" t="s">
        <v>44</v>
      </c>
      <c r="N142" s="24">
        <v>2025</v>
      </c>
      <c r="O142" s="26" t="s">
        <v>30</v>
      </c>
      <c r="P142" s="11" t="s">
        <v>1068</v>
      </c>
      <c r="Q142" s="27">
        <v>0</v>
      </c>
      <c r="R142" s="27">
        <f>Tabla1[[#This Row],[Aporte Ingresado]]-Tabla1[[#This Row],[Monto 1% u Aporte ]]</f>
        <v>-1900000</v>
      </c>
      <c r="S142" s="27" t="s">
        <v>29</v>
      </c>
      <c r="T142" s="175" t="s">
        <v>969</v>
      </c>
      <c r="U142" s="26" t="s">
        <v>470</v>
      </c>
      <c r="V142" s="30" t="s">
        <v>471</v>
      </c>
      <c r="W142" s="26"/>
      <c r="X142" s="26"/>
      <c r="Y142" s="26"/>
      <c r="Z142" s="30"/>
    </row>
    <row r="143" spans="1:26" hidden="1" x14ac:dyDescent="0.2">
      <c r="A143" s="22">
        <f t="shared" si="4"/>
        <v>113</v>
      </c>
      <c r="B143" s="174" t="s">
        <v>481</v>
      </c>
      <c r="C143" s="24" t="s">
        <v>872</v>
      </c>
      <c r="D143" s="24" t="s">
        <v>352</v>
      </c>
      <c r="E143" s="24" t="s">
        <v>352</v>
      </c>
      <c r="F143" s="126"/>
      <c r="G143" s="32" t="s">
        <v>873</v>
      </c>
      <c r="H143" s="24"/>
      <c r="I143" s="26" t="s">
        <v>23</v>
      </c>
      <c r="J143" s="27">
        <v>40000000</v>
      </c>
      <c r="K143" s="28">
        <v>7.0000000000000007E-2</v>
      </c>
      <c r="L143" s="27">
        <f>Tabla1[[#This Row],[Monto 1% u Aporte ]]*Tabla1[[#This Row],[Tasa Propuesta Administración OTIC]]</f>
        <v>2800000.0000000005</v>
      </c>
      <c r="M143" s="171" t="s">
        <v>68</v>
      </c>
      <c r="N143" s="24">
        <v>2025</v>
      </c>
      <c r="O143" s="26" t="s">
        <v>30</v>
      </c>
      <c r="P143" s="11" t="s">
        <v>1068</v>
      </c>
      <c r="Q143" s="27">
        <v>0</v>
      </c>
      <c r="R143" s="27">
        <f>Tabla1[[#This Row],[Aporte Ingresado]]-Tabla1[[#This Row],[Monto 1% u Aporte ]]</f>
        <v>-40000000</v>
      </c>
      <c r="S143" s="27" t="s">
        <v>29</v>
      </c>
      <c r="T143" s="175" t="s">
        <v>969</v>
      </c>
      <c r="U143" s="26" t="s">
        <v>482</v>
      </c>
      <c r="V143" s="30" t="s">
        <v>483</v>
      </c>
      <c r="W143" s="26"/>
      <c r="X143" s="26"/>
      <c r="Y143" s="26"/>
      <c r="Z143" s="30"/>
    </row>
    <row r="144" spans="1:26" hidden="1" x14ac:dyDescent="0.2">
      <c r="A144" s="22">
        <f t="shared" si="4"/>
        <v>114</v>
      </c>
      <c r="B144" s="174" t="s">
        <v>581</v>
      </c>
      <c r="C144" s="24" t="s">
        <v>872</v>
      </c>
      <c r="D144" s="24" t="s">
        <v>352</v>
      </c>
      <c r="E144" s="24" t="s">
        <v>352</v>
      </c>
      <c r="F144" s="126"/>
      <c r="G144" s="32" t="s">
        <v>873</v>
      </c>
      <c r="H144" s="24"/>
      <c r="I144" s="26" t="s">
        <v>23</v>
      </c>
      <c r="J144" s="27">
        <v>15000000</v>
      </c>
      <c r="K144" s="28">
        <v>0.12</v>
      </c>
      <c r="L144" s="27">
        <f>Tabla1[[#This Row],[Monto 1% u Aporte ]]*Tabla1[[#This Row],[Tasa Propuesta Administración OTIC]]</f>
        <v>1800000</v>
      </c>
      <c r="M144" s="26" t="s">
        <v>514</v>
      </c>
      <c r="N144" s="24">
        <v>2025</v>
      </c>
      <c r="O144" s="26" t="s">
        <v>30</v>
      </c>
      <c r="P144" s="11" t="s">
        <v>1068</v>
      </c>
      <c r="Q144" s="27">
        <v>0</v>
      </c>
      <c r="R144" s="27">
        <f>Tabla1[[#This Row],[Aporte Ingresado]]-Tabla1[[#This Row],[Monto 1% u Aporte ]]</f>
        <v>-15000000</v>
      </c>
      <c r="S144" s="27" t="s">
        <v>29</v>
      </c>
      <c r="T144" s="175" t="s">
        <v>969</v>
      </c>
      <c r="U144" s="26" t="s">
        <v>582</v>
      </c>
      <c r="V144" s="30" t="s">
        <v>583</v>
      </c>
      <c r="W144" s="26"/>
      <c r="X144" s="26"/>
      <c r="Y144" s="26"/>
      <c r="Z144" s="30"/>
    </row>
    <row r="145" spans="1:26" hidden="1" x14ac:dyDescent="0.2">
      <c r="A145" s="22">
        <f t="shared" si="4"/>
        <v>115</v>
      </c>
      <c r="B145" s="174" t="s">
        <v>454</v>
      </c>
      <c r="C145" s="24" t="s">
        <v>872</v>
      </c>
      <c r="D145" s="24" t="s">
        <v>352</v>
      </c>
      <c r="E145" s="24" t="s">
        <v>352</v>
      </c>
      <c r="F145" s="126"/>
      <c r="G145" s="32" t="s">
        <v>873</v>
      </c>
      <c r="H145" s="24"/>
      <c r="I145" s="26" t="s">
        <v>23</v>
      </c>
      <c r="J145" s="27">
        <v>0</v>
      </c>
      <c r="K145" s="28">
        <v>0.05</v>
      </c>
      <c r="L145" s="27">
        <f>Tabla1[[#This Row],[Monto 1% u Aporte ]]*Tabla1[[#This Row],[Tasa Propuesta Administración OTIC]]</f>
        <v>0</v>
      </c>
      <c r="M145" s="26" t="s">
        <v>44</v>
      </c>
      <c r="N145" s="24">
        <v>2025</v>
      </c>
      <c r="O145" s="26" t="s">
        <v>30</v>
      </c>
      <c r="P145" s="11" t="s">
        <v>1068</v>
      </c>
      <c r="Q145" s="27">
        <v>0</v>
      </c>
      <c r="R145" s="27">
        <f>Tabla1[[#This Row],[Aporte Ingresado]]-Tabla1[[#This Row],[Monto 1% u Aporte ]]</f>
        <v>0</v>
      </c>
      <c r="S145" s="27" t="s">
        <v>29</v>
      </c>
      <c r="T145" s="183" t="s">
        <v>970</v>
      </c>
      <c r="U145" s="26" t="s">
        <v>455</v>
      </c>
      <c r="V145" s="30" t="s">
        <v>456</v>
      </c>
      <c r="W145" s="26"/>
      <c r="X145" s="26"/>
      <c r="Y145" s="26"/>
      <c r="Z145" s="30"/>
    </row>
    <row r="146" spans="1:26" hidden="1" x14ac:dyDescent="0.2">
      <c r="A146" s="22">
        <f t="shared" si="4"/>
        <v>116</v>
      </c>
      <c r="B146" s="174" t="s">
        <v>593</v>
      </c>
      <c r="C146" s="24" t="s">
        <v>872</v>
      </c>
      <c r="D146" s="24" t="s">
        <v>352</v>
      </c>
      <c r="E146" s="24" t="s">
        <v>352</v>
      </c>
      <c r="F146" s="126"/>
      <c r="G146" s="32" t="s">
        <v>873</v>
      </c>
      <c r="H146" s="24"/>
      <c r="I146" s="26" t="s">
        <v>23</v>
      </c>
      <c r="J146" s="27">
        <v>0</v>
      </c>
      <c r="K146" s="28"/>
      <c r="L146" s="27">
        <f>Tabla1[[#This Row],[Monto 1% u Aporte ]]*Tabla1[[#This Row],[Tasa Propuesta Administración OTIC]]</f>
        <v>0</v>
      </c>
      <c r="M146" s="171" t="s">
        <v>68</v>
      </c>
      <c r="N146" s="24">
        <v>2025</v>
      </c>
      <c r="O146" s="26" t="s">
        <v>30</v>
      </c>
      <c r="P146" s="11" t="s">
        <v>1068</v>
      </c>
      <c r="Q146" s="27">
        <v>0</v>
      </c>
      <c r="R146" s="27">
        <f>Tabla1[[#This Row],[Aporte Ingresado]]-Tabla1[[#This Row],[Monto 1% u Aporte ]]</f>
        <v>0</v>
      </c>
      <c r="S146" s="27" t="s">
        <v>29</v>
      </c>
      <c r="T146" s="175" t="s">
        <v>969</v>
      </c>
      <c r="U146" s="26" t="s">
        <v>594</v>
      </c>
      <c r="V146" s="30" t="s">
        <v>595</v>
      </c>
      <c r="W146" s="26"/>
      <c r="X146" s="26"/>
      <c r="Y146" s="26"/>
      <c r="Z146" s="30"/>
    </row>
    <row r="147" spans="1:26" hidden="1" x14ac:dyDescent="0.2">
      <c r="A147" s="22">
        <f t="shared" si="4"/>
        <v>117</v>
      </c>
      <c r="B147" s="174" t="s">
        <v>350</v>
      </c>
      <c r="C147" s="24" t="s">
        <v>872</v>
      </c>
      <c r="D147" s="24" t="s">
        <v>352</v>
      </c>
      <c r="E147" s="24" t="s">
        <v>352</v>
      </c>
      <c r="F147" s="126"/>
      <c r="G147" s="32" t="s">
        <v>873</v>
      </c>
      <c r="H147" s="24"/>
      <c r="I147" s="26" t="s">
        <v>24</v>
      </c>
      <c r="J147" s="27">
        <v>0</v>
      </c>
      <c r="K147" s="28">
        <v>0.05</v>
      </c>
      <c r="L147" s="27">
        <f>Tabla1[[#This Row],[Monto 1% u Aporte ]]*Tabla1[[#This Row],[Tasa Propuesta Administración OTIC]]</f>
        <v>0</v>
      </c>
      <c r="M147" s="26" t="s">
        <v>44</v>
      </c>
      <c r="N147" s="24">
        <v>2025</v>
      </c>
      <c r="O147" s="26" t="s">
        <v>30</v>
      </c>
      <c r="P147" s="11" t="s">
        <v>1068</v>
      </c>
      <c r="Q147" s="27">
        <v>0</v>
      </c>
      <c r="R147" s="27">
        <f>Tabla1[[#This Row],[Aporte Ingresado]]-Tabla1[[#This Row],[Monto 1% u Aporte ]]</f>
        <v>0</v>
      </c>
      <c r="S147" s="27" t="s">
        <v>29</v>
      </c>
      <c r="T147" s="175" t="s">
        <v>969</v>
      </c>
      <c r="U147" s="26" t="s">
        <v>354</v>
      </c>
      <c r="V147" s="30" t="s">
        <v>355</v>
      </c>
      <c r="W147" s="26"/>
      <c r="X147" s="26"/>
      <c r="Y147" s="26"/>
      <c r="Z147" s="30"/>
    </row>
    <row r="148" spans="1:26" hidden="1" x14ac:dyDescent="0.2">
      <c r="A148" s="22">
        <f t="shared" si="4"/>
        <v>118</v>
      </c>
      <c r="B148" s="174" t="s">
        <v>372</v>
      </c>
      <c r="C148" s="24" t="s">
        <v>872</v>
      </c>
      <c r="D148" s="24" t="s">
        <v>352</v>
      </c>
      <c r="E148" s="24" t="s">
        <v>352</v>
      </c>
      <c r="F148" s="126"/>
      <c r="G148" s="32" t="s">
        <v>873</v>
      </c>
      <c r="H148" s="24"/>
      <c r="I148" s="26" t="s">
        <v>23</v>
      </c>
      <c r="J148" s="27">
        <v>25000000</v>
      </c>
      <c r="K148" s="28">
        <v>7.0000000000000007E-2</v>
      </c>
      <c r="L148" s="27">
        <f>Tabla1[[#This Row],[Monto 1% u Aporte ]]*Tabla1[[#This Row],[Tasa Propuesta Administración OTIC]]</f>
        <v>1750000.0000000002</v>
      </c>
      <c r="M148" s="171" t="s">
        <v>44</v>
      </c>
      <c r="N148" s="24">
        <v>2025</v>
      </c>
      <c r="O148" s="26" t="s">
        <v>30</v>
      </c>
      <c r="P148" s="11" t="s">
        <v>1068</v>
      </c>
      <c r="Q148" s="27">
        <v>0</v>
      </c>
      <c r="R148" s="27">
        <f>Tabla1[[#This Row],[Aporte Ingresado]]-Tabla1[[#This Row],[Monto 1% u Aporte ]]</f>
        <v>-25000000</v>
      </c>
      <c r="S148" s="27" t="s">
        <v>29</v>
      </c>
      <c r="T148" s="175" t="s">
        <v>969</v>
      </c>
      <c r="U148" s="26" t="s">
        <v>373</v>
      </c>
      <c r="V148" s="30" t="s">
        <v>374</v>
      </c>
      <c r="W148" s="26"/>
      <c r="X148" s="26"/>
      <c r="Y148" s="26"/>
      <c r="Z148" s="30"/>
    </row>
    <row r="149" spans="1:26" hidden="1" x14ac:dyDescent="0.2">
      <c r="A149" s="22">
        <f t="shared" si="4"/>
        <v>119</v>
      </c>
      <c r="B149" s="174" t="s">
        <v>538</v>
      </c>
      <c r="C149" s="24" t="s">
        <v>872</v>
      </c>
      <c r="D149" s="24" t="s">
        <v>352</v>
      </c>
      <c r="E149" s="24" t="s">
        <v>352</v>
      </c>
      <c r="F149" s="126" t="s">
        <v>965</v>
      </c>
      <c r="G149" s="32" t="s">
        <v>873</v>
      </c>
      <c r="H149" s="24"/>
      <c r="I149" s="26" t="s">
        <v>23</v>
      </c>
      <c r="J149" s="27">
        <v>280000000</v>
      </c>
      <c r="K149" s="28">
        <v>0.03</v>
      </c>
      <c r="L149" s="27">
        <f>Tabla1[[#This Row],[Monto 1% u Aporte ]]*Tabla1[[#This Row],[Tasa Propuesta Administración OTIC]]</f>
        <v>8400000</v>
      </c>
      <c r="M149" s="171" t="s">
        <v>157</v>
      </c>
      <c r="N149" s="24">
        <v>2025</v>
      </c>
      <c r="O149" s="26" t="s">
        <v>30</v>
      </c>
      <c r="P149" s="11" t="s">
        <v>1068</v>
      </c>
      <c r="Q149" s="27">
        <v>0</v>
      </c>
      <c r="R149" s="27">
        <f>Tabla1[[#This Row],[Aporte Ingresado]]-Tabla1[[#This Row],[Monto 1% u Aporte ]]</f>
        <v>-280000000</v>
      </c>
      <c r="S149" s="27" t="s">
        <v>29</v>
      </c>
      <c r="T149" s="175" t="s">
        <v>969</v>
      </c>
      <c r="U149" s="26" t="s">
        <v>539</v>
      </c>
      <c r="V149" s="30" t="s">
        <v>540</v>
      </c>
      <c r="W149" s="26"/>
      <c r="X149" s="26"/>
      <c r="Y149" s="26"/>
      <c r="Z149" s="30"/>
    </row>
    <row r="150" spans="1:26" hidden="1" x14ac:dyDescent="0.2">
      <c r="A150" s="22">
        <f t="shared" si="4"/>
        <v>120</v>
      </c>
      <c r="B150" s="174" t="s">
        <v>478</v>
      </c>
      <c r="C150" s="24" t="s">
        <v>872</v>
      </c>
      <c r="D150" s="24" t="s">
        <v>352</v>
      </c>
      <c r="E150" s="24" t="s">
        <v>352</v>
      </c>
      <c r="F150" s="126"/>
      <c r="G150" s="32" t="s">
        <v>873</v>
      </c>
      <c r="H150" s="181"/>
      <c r="I150" s="26" t="s">
        <v>23</v>
      </c>
      <c r="J150" s="33">
        <v>16000000</v>
      </c>
      <c r="K150" s="34">
        <v>0.08</v>
      </c>
      <c r="L150" s="33">
        <f>Tabla1[[#This Row],[Monto 1% u Aporte ]]*Tabla1[[#This Row],[Tasa Propuesta Administración OTIC]]</f>
        <v>1280000</v>
      </c>
      <c r="M150" s="171" t="s">
        <v>44</v>
      </c>
      <c r="N150" s="24">
        <v>2025</v>
      </c>
      <c r="O150" s="26" t="s">
        <v>30</v>
      </c>
      <c r="P150" s="11" t="s">
        <v>1068</v>
      </c>
      <c r="Q150" s="27">
        <v>0</v>
      </c>
      <c r="R150" s="33">
        <f>Tabla1[[#This Row],[Aporte Ingresado]]-Tabla1[[#This Row],[Monto 1% u Aporte ]]</f>
        <v>-16000000</v>
      </c>
      <c r="S150" s="27" t="s">
        <v>29</v>
      </c>
      <c r="T150" s="175" t="s">
        <v>969</v>
      </c>
      <c r="U150" s="26" t="s">
        <v>479</v>
      </c>
      <c r="V150" s="30" t="s">
        <v>480</v>
      </c>
      <c r="W150" s="26"/>
      <c r="X150" s="32"/>
      <c r="Y150" s="32"/>
      <c r="Z150" s="36"/>
    </row>
    <row r="151" spans="1:26" hidden="1" x14ac:dyDescent="0.2">
      <c r="A151" s="22">
        <f t="shared" si="4"/>
        <v>121</v>
      </c>
      <c r="B151" s="174" t="s">
        <v>339</v>
      </c>
      <c r="C151" s="170" t="s">
        <v>872</v>
      </c>
      <c r="D151" s="24" t="s">
        <v>352</v>
      </c>
      <c r="E151" s="24" t="s">
        <v>352</v>
      </c>
      <c r="F151" s="126"/>
      <c r="G151" s="32" t="s">
        <v>873</v>
      </c>
      <c r="H151" s="24"/>
      <c r="I151" s="26" t="s">
        <v>23</v>
      </c>
      <c r="J151" s="27">
        <v>5800000</v>
      </c>
      <c r="K151" s="28">
        <v>0.12</v>
      </c>
      <c r="L151" s="27">
        <f>Tabla1[[#This Row],[Monto 1% u Aporte ]]*Tabla1[[#This Row],[Tasa Propuesta Administración OTIC]]</f>
        <v>696000</v>
      </c>
      <c r="M151" s="32" t="s">
        <v>44</v>
      </c>
      <c r="N151" s="24">
        <v>2025</v>
      </c>
      <c r="O151" s="26" t="s">
        <v>30</v>
      </c>
      <c r="P151" s="11" t="s">
        <v>1068</v>
      </c>
      <c r="Q151" s="27">
        <v>0</v>
      </c>
      <c r="R151" s="27">
        <f>Tabla1[[#This Row],[Aporte Ingresado]]-Tabla1[[#This Row],[Monto 1% u Aporte ]]</f>
        <v>-5800000</v>
      </c>
      <c r="S151" s="27" t="s">
        <v>29</v>
      </c>
      <c r="T151" s="175" t="s">
        <v>969</v>
      </c>
      <c r="U151" s="26" t="s">
        <v>340</v>
      </c>
      <c r="V151" s="30" t="s">
        <v>341</v>
      </c>
      <c r="W151" s="26"/>
      <c r="X151" s="26"/>
      <c r="Y151" s="26"/>
      <c r="Z151" s="30"/>
    </row>
    <row r="152" spans="1:26" hidden="1" x14ac:dyDescent="0.2">
      <c r="A152" s="22">
        <f t="shared" si="4"/>
        <v>122</v>
      </c>
      <c r="B152" s="174" t="s">
        <v>542</v>
      </c>
      <c r="C152" s="170" t="s">
        <v>872</v>
      </c>
      <c r="D152" s="24" t="s">
        <v>352</v>
      </c>
      <c r="E152" s="24" t="s">
        <v>352</v>
      </c>
      <c r="F152" s="126"/>
      <c r="G152" s="32" t="s">
        <v>873</v>
      </c>
      <c r="H152" s="24"/>
      <c r="I152" s="26" t="s">
        <v>23</v>
      </c>
      <c r="J152" s="27">
        <v>350000000</v>
      </c>
      <c r="K152" s="28">
        <v>0.03</v>
      </c>
      <c r="L152" s="27">
        <f>Tabla1[[#This Row],[Monto 1% u Aporte ]]*Tabla1[[#This Row],[Tasa Propuesta Administración OTIC]]</f>
        <v>10500000</v>
      </c>
      <c r="M152" s="32" t="s">
        <v>514</v>
      </c>
      <c r="N152" s="24">
        <v>2025</v>
      </c>
      <c r="O152" s="26" t="s">
        <v>30</v>
      </c>
      <c r="P152" s="11" t="s">
        <v>1068</v>
      </c>
      <c r="Q152" s="27">
        <v>0</v>
      </c>
      <c r="R152" s="27">
        <f>Tabla1[[#This Row],[Aporte Ingresado]]-Tabla1[[#This Row],[Monto 1% u Aporte ]]</f>
        <v>-350000000</v>
      </c>
      <c r="S152" s="27" t="s">
        <v>29</v>
      </c>
      <c r="T152" s="175" t="s">
        <v>969</v>
      </c>
      <c r="U152" s="26" t="s">
        <v>544</v>
      </c>
      <c r="V152" s="30" t="s">
        <v>545</v>
      </c>
      <c r="W152" s="26"/>
      <c r="X152" s="26"/>
      <c r="Y152" s="26"/>
      <c r="Z152" s="30"/>
    </row>
    <row r="153" spans="1:26" hidden="1" x14ac:dyDescent="0.2">
      <c r="A153" s="22">
        <f t="shared" si="4"/>
        <v>123</v>
      </c>
      <c r="B153" s="174" t="s">
        <v>460</v>
      </c>
      <c r="C153" s="24" t="s">
        <v>872</v>
      </c>
      <c r="D153" s="24" t="s">
        <v>352</v>
      </c>
      <c r="E153" s="24" t="s">
        <v>352</v>
      </c>
      <c r="F153" s="126"/>
      <c r="G153" s="32" t="s">
        <v>873</v>
      </c>
      <c r="H153" s="181"/>
      <c r="I153" s="26" t="s">
        <v>23</v>
      </c>
      <c r="J153" s="33">
        <v>470000000</v>
      </c>
      <c r="K153" s="34">
        <v>0.03</v>
      </c>
      <c r="L153" s="33">
        <f>Tabla1[[#This Row],[Monto 1% u Aporte ]]*Tabla1[[#This Row],[Tasa Propuesta Administración OTIC]]</f>
        <v>14100000</v>
      </c>
      <c r="M153" s="32" t="s">
        <v>44</v>
      </c>
      <c r="N153" s="24">
        <v>2025</v>
      </c>
      <c r="O153" s="26" t="s">
        <v>30</v>
      </c>
      <c r="P153" s="11" t="s">
        <v>1068</v>
      </c>
      <c r="Q153" s="27">
        <v>0</v>
      </c>
      <c r="R153" s="33">
        <f>Tabla1[[#This Row],[Aporte Ingresado]]-Tabla1[[#This Row],[Monto 1% u Aporte ]]</f>
        <v>-470000000</v>
      </c>
      <c r="S153" s="27" t="s">
        <v>29</v>
      </c>
      <c r="T153" s="175" t="s">
        <v>969</v>
      </c>
      <c r="U153" s="26" t="s">
        <v>462</v>
      </c>
      <c r="V153" s="30" t="s">
        <v>463</v>
      </c>
      <c r="W153" s="26" t="s">
        <v>1102</v>
      </c>
      <c r="X153" s="32"/>
      <c r="Y153" s="32" t="s">
        <v>1098</v>
      </c>
      <c r="Z153" s="36"/>
    </row>
    <row r="154" spans="1:26" hidden="1" x14ac:dyDescent="0.2">
      <c r="A154" s="22">
        <f t="shared" si="4"/>
        <v>124</v>
      </c>
      <c r="B154" s="174" t="s">
        <v>547</v>
      </c>
      <c r="C154" s="24" t="s">
        <v>872</v>
      </c>
      <c r="D154" s="24" t="s">
        <v>352</v>
      </c>
      <c r="E154" s="24" t="s">
        <v>352</v>
      </c>
      <c r="F154" s="126"/>
      <c r="G154" s="32" t="s">
        <v>873</v>
      </c>
      <c r="H154" s="181"/>
      <c r="I154" s="26" t="s">
        <v>23</v>
      </c>
      <c r="J154" s="33">
        <v>7500000</v>
      </c>
      <c r="K154" s="34">
        <v>0.1</v>
      </c>
      <c r="L154" s="33">
        <f>Tabla1[[#This Row],[Monto 1% u Aporte ]]*Tabla1[[#This Row],[Tasa Propuesta Administración OTIC]]</f>
        <v>750000</v>
      </c>
      <c r="M154" s="32" t="s">
        <v>68</v>
      </c>
      <c r="N154" s="24">
        <v>2025</v>
      </c>
      <c r="O154" s="26" t="s">
        <v>30</v>
      </c>
      <c r="P154" s="11" t="s">
        <v>1068</v>
      </c>
      <c r="Q154" s="27">
        <v>0</v>
      </c>
      <c r="R154" s="33">
        <f>Tabla1[[#This Row],[Aporte Ingresado]]-Tabla1[[#This Row],[Monto 1% u Aporte ]]</f>
        <v>-7500000</v>
      </c>
      <c r="S154" s="27" t="s">
        <v>29</v>
      </c>
      <c r="T154" s="175" t="s">
        <v>969</v>
      </c>
      <c r="U154" s="26" t="s">
        <v>548</v>
      </c>
      <c r="V154" s="30" t="s">
        <v>549</v>
      </c>
      <c r="W154" s="26"/>
      <c r="X154" s="32"/>
      <c r="Y154" s="32"/>
      <c r="Z154" s="36"/>
    </row>
    <row r="155" spans="1:26" hidden="1" x14ac:dyDescent="0.2">
      <c r="A155" s="22">
        <f t="shared" si="4"/>
        <v>125</v>
      </c>
      <c r="B155" s="174" t="s">
        <v>584</v>
      </c>
      <c r="C155" s="24" t="s">
        <v>872</v>
      </c>
      <c r="D155" s="24" t="s">
        <v>352</v>
      </c>
      <c r="E155" s="24" t="s">
        <v>352</v>
      </c>
      <c r="F155" s="126"/>
      <c r="G155" s="32" t="s">
        <v>873</v>
      </c>
      <c r="H155" s="181"/>
      <c r="I155" s="32" t="s">
        <v>23</v>
      </c>
      <c r="J155" s="33">
        <v>24000000</v>
      </c>
      <c r="K155" s="34">
        <v>0.06</v>
      </c>
      <c r="L155" s="33">
        <f>Tabla1[[#This Row],[Monto 1% u Aporte ]]*Tabla1[[#This Row],[Tasa Propuesta Administración OTIC]]</f>
        <v>1440000</v>
      </c>
      <c r="M155" s="32" t="s">
        <v>68</v>
      </c>
      <c r="N155" s="181">
        <v>2025</v>
      </c>
      <c r="O155" s="32" t="s">
        <v>30</v>
      </c>
      <c r="P155" s="11" t="s">
        <v>1068</v>
      </c>
      <c r="Q155" s="27">
        <v>0</v>
      </c>
      <c r="R155" s="33">
        <f>Tabla1[[#This Row],[Aporte Ingresado]]-Tabla1[[#This Row],[Monto 1% u Aporte ]]</f>
        <v>-24000000</v>
      </c>
      <c r="S155" s="27" t="s">
        <v>29</v>
      </c>
      <c r="T155" s="175" t="s">
        <v>969</v>
      </c>
      <c r="U155" s="26" t="s">
        <v>586</v>
      </c>
      <c r="V155" s="30" t="s">
        <v>587</v>
      </c>
      <c r="W155" s="26"/>
      <c r="X155" s="32"/>
      <c r="Y155" s="32"/>
      <c r="Z155" s="36"/>
    </row>
    <row r="156" spans="1:26" hidden="1" x14ac:dyDescent="0.2">
      <c r="A156" s="22">
        <f t="shared" si="4"/>
        <v>126</v>
      </c>
      <c r="B156" s="174" t="s">
        <v>520</v>
      </c>
      <c r="C156" s="24" t="s">
        <v>872</v>
      </c>
      <c r="D156" s="24" t="s">
        <v>352</v>
      </c>
      <c r="E156" s="24" t="s">
        <v>352</v>
      </c>
      <c r="F156" s="126" t="s">
        <v>699</v>
      </c>
      <c r="G156" s="32" t="s">
        <v>873</v>
      </c>
      <c r="H156" s="181" t="s">
        <v>19</v>
      </c>
      <c r="I156" s="32" t="s">
        <v>23</v>
      </c>
      <c r="J156" s="33">
        <v>125000000</v>
      </c>
      <c r="K156" s="34">
        <v>1.7000000000000001E-2</v>
      </c>
      <c r="L156" s="33">
        <f>Tabla1[[#This Row],[Monto 1% u Aporte ]]*Tabla1[[#This Row],[Tasa Propuesta Administración OTIC]]</f>
        <v>2125000</v>
      </c>
      <c r="M156" s="32" t="s">
        <v>44</v>
      </c>
      <c r="N156" s="181">
        <v>2025</v>
      </c>
      <c r="O156" s="32" t="s">
        <v>30</v>
      </c>
      <c r="P156" s="11" t="s">
        <v>1068</v>
      </c>
      <c r="Q156" s="27">
        <v>0</v>
      </c>
      <c r="R156" s="33">
        <f>Tabla1[[#This Row],[Aporte Ingresado]]-Tabla1[[#This Row],[Monto 1% u Aporte ]]</f>
        <v>-125000000</v>
      </c>
      <c r="S156" s="27" t="s">
        <v>29</v>
      </c>
      <c r="T156" s="175" t="s">
        <v>969</v>
      </c>
      <c r="U156" s="26" t="s">
        <v>521</v>
      </c>
      <c r="V156" s="30" t="s">
        <v>522</v>
      </c>
      <c r="W156" s="26"/>
      <c r="X156" s="32"/>
      <c r="Y156" s="32"/>
      <c r="Z156" s="36"/>
    </row>
    <row r="157" spans="1:26" hidden="1" x14ac:dyDescent="0.2">
      <c r="A157" s="22">
        <f t="shared" si="4"/>
        <v>127</v>
      </c>
      <c r="B157" s="174" t="s">
        <v>567</v>
      </c>
      <c r="C157" s="24" t="s">
        <v>872</v>
      </c>
      <c r="D157" s="24" t="s">
        <v>352</v>
      </c>
      <c r="E157" s="24" t="s">
        <v>352</v>
      </c>
      <c r="F157" s="126"/>
      <c r="G157" s="32" t="s">
        <v>873</v>
      </c>
      <c r="H157" s="181"/>
      <c r="I157" s="32" t="s">
        <v>23</v>
      </c>
      <c r="J157" s="33">
        <v>155000000</v>
      </c>
      <c r="K157" s="34">
        <v>0.12</v>
      </c>
      <c r="L157" s="33">
        <f>Tabla1[[#This Row],[Monto 1% u Aporte ]]*Tabla1[[#This Row],[Tasa Propuesta Administración OTIC]]</f>
        <v>18600000</v>
      </c>
      <c r="M157" s="32" t="s">
        <v>514</v>
      </c>
      <c r="N157" s="181">
        <v>2025</v>
      </c>
      <c r="O157" s="32" t="s">
        <v>30</v>
      </c>
      <c r="P157" s="11" t="s">
        <v>1068</v>
      </c>
      <c r="Q157" s="27">
        <v>0</v>
      </c>
      <c r="R157" s="33">
        <f>Tabla1[[#This Row],[Aporte Ingresado]]-Tabla1[[#This Row],[Monto 1% u Aporte ]]</f>
        <v>-155000000</v>
      </c>
      <c r="S157" s="27" t="s">
        <v>29</v>
      </c>
      <c r="T157" s="175" t="s">
        <v>969</v>
      </c>
      <c r="U157" s="26" t="s">
        <v>568</v>
      </c>
      <c r="V157" s="30" t="s">
        <v>569</v>
      </c>
      <c r="W157" s="30" t="s">
        <v>1104</v>
      </c>
      <c r="X157" s="32"/>
      <c r="Y157" s="32"/>
      <c r="Z157" s="36"/>
    </row>
    <row r="158" spans="1:26" hidden="1" x14ac:dyDescent="0.2">
      <c r="A158" s="22">
        <f t="shared" si="4"/>
        <v>128</v>
      </c>
      <c r="B158" s="174" t="s">
        <v>559</v>
      </c>
      <c r="C158" s="24" t="s">
        <v>872</v>
      </c>
      <c r="D158" s="24" t="s">
        <v>352</v>
      </c>
      <c r="E158" s="24" t="s">
        <v>352</v>
      </c>
      <c r="F158" s="126"/>
      <c r="G158" s="32" t="s">
        <v>873</v>
      </c>
      <c r="H158" s="181"/>
      <c r="I158" s="32" t="s">
        <v>23</v>
      </c>
      <c r="J158" s="33">
        <v>70000000</v>
      </c>
      <c r="K158" s="34">
        <v>0.06</v>
      </c>
      <c r="L158" s="33">
        <f>Tabla1[[#This Row],[Monto 1% u Aporte ]]*Tabla1[[#This Row],[Tasa Propuesta Administración OTIC]]</f>
        <v>4200000</v>
      </c>
      <c r="M158" s="32" t="s">
        <v>514</v>
      </c>
      <c r="N158" s="181">
        <v>2025</v>
      </c>
      <c r="O158" s="32" t="s">
        <v>30</v>
      </c>
      <c r="P158" s="11" t="s">
        <v>1068</v>
      </c>
      <c r="Q158" s="27">
        <v>0</v>
      </c>
      <c r="R158" s="33">
        <f>Tabla1[[#This Row],[Aporte Ingresado]]-Tabla1[[#This Row],[Monto 1% u Aporte ]]</f>
        <v>-70000000</v>
      </c>
      <c r="S158" s="27" t="s">
        <v>29</v>
      </c>
      <c r="T158" s="175" t="s">
        <v>969</v>
      </c>
      <c r="U158" s="26" t="s">
        <v>560</v>
      </c>
      <c r="V158" s="184" t="s">
        <v>561</v>
      </c>
      <c r="W158" s="26"/>
      <c r="X158" s="32"/>
      <c r="Y158" s="32"/>
      <c r="Z158" s="36"/>
    </row>
    <row r="159" spans="1:26" hidden="1" x14ac:dyDescent="0.2">
      <c r="A159" s="22">
        <f t="shared" ref="A159:A172" si="5">A158+1</f>
        <v>129</v>
      </c>
      <c r="B159" s="174" t="s">
        <v>334</v>
      </c>
      <c r="C159" s="24" t="s">
        <v>872</v>
      </c>
      <c r="D159" s="24" t="s">
        <v>352</v>
      </c>
      <c r="E159" s="24" t="s">
        <v>352</v>
      </c>
      <c r="F159" s="126" t="s">
        <v>699</v>
      </c>
      <c r="G159" s="32" t="s">
        <v>873</v>
      </c>
      <c r="H159" s="181" t="s">
        <v>19</v>
      </c>
      <c r="I159" s="32" t="s">
        <v>23</v>
      </c>
      <c r="J159" s="33">
        <v>40000000</v>
      </c>
      <c r="K159" s="34">
        <v>7.0000000000000007E-2</v>
      </c>
      <c r="L159" s="33">
        <f>Tabla1[[#This Row],[Monto 1% u Aporte ]]*Tabla1[[#This Row],[Tasa Propuesta Administración OTIC]]</f>
        <v>2800000.0000000005</v>
      </c>
      <c r="M159" s="32" t="s">
        <v>68</v>
      </c>
      <c r="N159" s="181">
        <v>2025</v>
      </c>
      <c r="O159" s="32" t="s">
        <v>30</v>
      </c>
      <c r="P159" s="11" t="s">
        <v>1068</v>
      </c>
      <c r="Q159" s="27">
        <v>0</v>
      </c>
      <c r="R159" s="27">
        <f>Tabla1[[#This Row],[Aporte Ingresado]]-Tabla1[[#This Row],[Monto 1% u Aporte ]]</f>
        <v>-40000000</v>
      </c>
      <c r="S159" s="27" t="s">
        <v>29</v>
      </c>
      <c r="T159" s="175" t="s">
        <v>969</v>
      </c>
      <c r="U159" s="26" t="s">
        <v>336</v>
      </c>
      <c r="V159" s="184" t="s">
        <v>337</v>
      </c>
      <c r="W159" s="26"/>
      <c r="X159" s="26"/>
      <c r="Y159" s="26"/>
      <c r="Z159" s="30"/>
    </row>
    <row r="160" spans="1:26" hidden="1" x14ac:dyDescent="0.2">
      <c r="A160" s="22">
        <f t="shared" si="5"/>
        <v>130</v>
      </c>
      <c r="B160" s="174" t="s">
        <v>317</v>
      </c>
      <c r="C160" s="24" t="s">
        <v>872</v>
      </c>
      <c r="D160" s="24" t="s">
        <v>352</v>
      </c>
      <c r="E160" s="24" t="s">
        <v>352</v>
      </c>
      <c r="F160" s="126" t="s">
        <v>699</v>
      </c>
      <c r="G160" s="32" t="s">
        <v>873</v>
      </c>
      <c r="H160" s="181" t="s">
        <v>19</v>
      </c>
      <c r="I160" s="32" t="s">
        <v>23</v>
      </c>
      <c r="J160" s="33">
        <v>4500000</v>
      </c>
      <c r="K160" s="34">
        <v>0.09</v>
      </c>
      <c r="L160" s="33">
        <f>Tabla1[[#This Row],[Monto 1% u Aporte ]]*Tabla1[[#This Row],[Tasa Propuesta Administración OTIC]]</f>
        <v>405000</v>
      </c>
      <c r="M160" s="32" t="s">
        <v>44</v>
      </c>
      <c r="N160" s="181">
        <v>2025</v>
      </c>
      <c r="O160" s="32" t="s">
        <v>30</v>
      </c>
      <c r="P160" s="11" t="s">
        <v>1068</v>
      </c>
      <c r="Q160" s="27">
        <v>0</v>
      </c>
      <c r="R160" s="33">
        <f>Tabla1[[#This Row],[Aporte Ingresado]]-Tabla1[[#This Row],[Monto 1% u Aporte ]]</f>
        <v>-4500000</v>
      </c>
      <c r="S160" s="33" t="s">
        <v>29</v>
      </c>
      <c r="T160" s="175" t="s">
        <v>969</v>
      </c>
      <c r="U160" s="26" t="s">
        <v>318</v>
      </c>
      <c r="V160" s="184" t="s">
        <v>319</v>
      </c>
      <c r="W160" s="26"/>
      <c r="X160" s="32"/>
      <c r="Y160" s="32"/>
      <c r="Z160" s="36"/>
    </row>
    <row r="161" spans="1:26" hidden="1" x14ac:dyDescent="0.2">
      <c r="A161" s="22">
        <f t="shared" si="5"/>
        <v>131</v>
      </c>
      <c r="B161" s="174" t="s">
        <v>364</v>
      </c>
      <c r="C161" s="24" t="s">
        <v>872</v>
      </c>
      <c r="D161" s="179" t="s">
        <v>352</v>
      </c>
      <c r="E161" s="24" t="s">
        <v>352</v>
      </c>
      <c r="F161" s="126"/>
      <c r="G161" s="32" t="s">
        <v>873</v>
      </c>
      <c r="H161" s="181"/>
      <c r="I161" s="32" t="s">
        <v>23</v>
      </c>
      <c r="J161" s="33">
        <v>72000000</v>
      </c>
      <c r="K161" s="34">
        <v>0.04</v>
      </c>
      <c r="L161" s="33">
        <f>Tabla1[[#This Row],[Monto 1% u Aporte ]]*Tabla1[[#This Row],[Tasa Propuesta Administración OTIC]]</f>
        <v>2880000</v>
      </c>
      <c r="M161" s="32" t="s">
        <v>44</v>
      </c>
      <c r="N161" s="181">
        <v>2025</v>
      </c>
      <c r="O161" s="32" t="s">
        <v>30</v>
      </c>
      <c r="P161" s="11" t="s">
        <v>1068</v>
      </c>
      <c r="Q161" s="27">
        <v>0</v>
      </c>
      <c r="R161" s="33">
        <f>Tabla1[[#This Row],[Aporte Ingresado]]-Tabla1[[#This Row],[Monto 1% u Aporte ]]</f>
        <v>-72000000</v>
      </c>
      <c r="S161" s="33" t="s">
        <v>29</v>
      </c>
      <c r="T161" s="175" t="s">
        <v>969</v>
      </c>
      <c r="U161" s="26" t="s">
        <v>365</v>
      </c>
      <c r="V161" s="184" t="s">
        <v>366</v>
      </c>
      <c r="W161" s="26"/>
      <c r="X161" s="32"/>
      <c r="Y161" s="32"/>
      <c r="Z161" s="36"/>
    </row>
    <row r="162" spans="1:26" hidden="1" x14ac:dyDescent="0.2">
      <c r="A162" s="22">
        <f t="shared" si="5"/>
        <v>132</v>
      </c>
      <c r="B162" s="174" t="s">
        <v>589</v>
      </c>
      <c r="C162" s="24" t="s">
        <v>872</v>
      </c>
      <c r="D162" s="179" t="s">
        <v>352</v>
      </c>
      <c r="E162" s="24" t="s">
        <v>352</v>
      </c>
      <c r="F162" s="126"/>
      <c r="G162" s="32" t="s">
        <v>873</v>
      </c>
      <c r="H162" s="181"/>
      <c r="I162" s="32" t="s">
        <v>23</v>
      </c>
      <c r="J162" s="33">
        <v>0</v>
      </c>
      <c r="K162" s="34"/>
      <c r="L162" s="33">
        <f>Tabla1[[#This Row],[Monto 1% u Aporte ]]*Tabla1[[#This Row],[Tasa Propuesta Administración OTIC]]</f>
        <v>0</v>
      </c>
      <c r="M162" s="32" t="s">
        <v>44</v>
      </c>
      <c r="N162" s="181">
        <v>2025</v>
      </c>
      <c r="O162" s="32" t="s">
        <v>30</v>
      </c>
      <c r="P162" s="11" t="s">
        <v>1068</v>
      </c>
      <c r="Q162" s="27">
        <v>0</v>
      </c>
      <c r="R162" s="33">
        <f>Tabla1[[#This Row],[Aporte Ingresado]]-Tabla1[[#This Row],[Monto 1% u Aporte ]]</f>
        <v>0</v>
      </c>
      <c r="S162" s="33" t="s">
        <v>29</v>
      </c>
      <c r="T162" s="176" t="s">
        <v>969</v>
      </c>
      <c r="U162" s="32" t="s">
        <v>590</v>
      </c>
      <c r="V162" s="184" t="s">
        <v>591</v>
      </c>
      <c r="W162" s="189"/>
      <c r="X162" s="189"/>
      <c r="Y162" s="32"/>
      <c r="Z162" s="36"/>
    </row>
    <row r="163" spans="1:26" hidden="1" x14ac:dyDescent="0.2">
      <c r="A163" s="22">
        <f t="shared" si="5"/>
        <v>133</v>
      </c>
      <c r="B163" s="174" t="s">
        <v>527</v>
      </c>
      <c r="C163" s="24" t="s">
        <v>872</v>
      </c>
      <c r="D163" s="179" t="s">
        <v>352</v>
      </c>
      <c r="E163" s="24" t="s">
        <v>352</v>
      </c>
      <c r="F163" s="126"/>
      <c r="G163" s="32" t="s">
        <v>873</v>
      </c>
      <c r="H163" s="181"/>
      <c r="I163" s="32" t="s">
        <v>23</v>
      </c>
      <c r="J163" s="33">
        <v>120000000</v>
      </c>
      <c r="K163" s="34">
        <v>0.04</v>
      </c>
      <c r="L163" s="33">
        <f>Tabla1[[#This Row],[Monto 1% u Aporte ]]*Tabla1[[#This Row],[Tasa Propuesta Administración OTIC]]</f>
        <v>4800000</v>
      </c>
      <c r="M163" s="32" t="s">
        <v>44</v>
      </c>
      <c r="N163" s="181">
        <v>2025</v>
      </c>
      <c r="O163" s="32" t="s">
        <v>30</v>
      </c>
      <c r="P163" s="11" t="s">
        <v>1068</v>
      </c>
      <c r="Q163" s="27">
        <v>0</v>
      </c>
      <c r="R163" s="33">
        <f>Tabla1[[#This Row],[Aporte Ingresado]]-Tabla1[[#This Row],[Monto 1% u Aporte ]]</f>
        <v>-120000000</v>
      </c>
      <c r="S163" s="33" t="s">
        <v>29</v>
      </c>
      <c r="T163" s="37" t="s">
        <v>352</v>
      </c>
      <c r="U163" s="32" t="s">
        <v>352</v>
      </c>
      <c r="V163" s="186" t="s">
        <v>352</v>
      </c>
      <c r="W163" s="189"/>
      <c r="X163" s="189"/>
      <c r="Y163" s="32"/>
      <c r="Z163" s="36"/>
    </row>
    <row r="164" spans="1:26" hidden="1" x14ac:dyDescent="0.2">
      <c r="A164" s="22">
        <f t="shared" si="5"/>
        <v>134</v>
      </c>
      <c r="B164" s="174" t="s">
        <v>321</v>
      </c>
      <c r="C164" s="24" t="s">
        <v>872</v>
      </c>
      <c r="D164" s="179" t="s">
        <v>352</v>
      </c>
      <c r="E164" s="24" t="s">
        <v>352</v>
      </c>
      <c r="F164" s="126"/>
      <c r="G164" s="32" t="s">
        <v>873</v>
      </c>
      <c r="H164" s="181"/>
      <c r="I164" s="32" t="s">
        <v>23</v>
      </c>
      <c r="J164" s="33">
        <v>22000000</v>
      </c>
      <c r="K164" s="34">
        <v>0.02</v>
      </c>
      <c r="L164" s="33">
        <f>Tabla1[[#This Row],[Monto 1% u Aporte ]]*Tabla1[[#This Row],[Tasa Propuesta Administración OTIC]]</f>
        <v>440000</v>
      </c>
      <c r="M164" s="32" t="s">
        <v>44</v>
      </c>
      <c r="N164" s="181">
        <v>2025</v>
      </c>
      <c r="O164" s="32" t="s">
        <v>30</v>
      </c>
      <c r="P164" s="11" t="s">
        <v>1068</v>
      </c>
      <c r="Q164" s="27">
        <v>0</v>
      </c>
      <c r="R164" s="33">
        <f>Tabla1[[#This Row],[Aporte Ingresado]]-Tabla1[[#This Row],[Monto 1% u Aporte ]]</f>
        <v>-22000000</v>
      </c>
      <c r="S164" s="33" t="s">
        <v>29</v>
      </c>
      <c r="T164" s="176" t="s">
        <v>969</v>
      </c>
      <c r="U164" s="32" t="s">
        <v>322</v>
      </c>
      <c r="V164" s="186" t="s">
        <v>323</v>
      </c>
      <c r="W164" s="189"/>
      <c r="X164" s="189"/>
      <c r="Y164" s="32"/>
      <c r="Z164" s="36"/>
    </row>
    <row r="165" spans="1:26" hidden="1" x14ac:dyDescent="0.2">
      <c r="A165" s="22">
        <f t="shared" si="5"/>
        <v>135</v>
      </c>
      <c r="B165" s="174" t="s">
        <v>464</v>
      </c>
      <c r="C165" s="24" t="s">
        <v>872</v>
      </c>
      <c r="D165" s="179" t="s">
        <v>352</v>
      </c>
      <c r="E165" s="24" t="s">
        <v>352</v>
      </c>
      <c r="F165" s="126"/>
      <c r="G165" s="32" t="s">
        <v>873</v>
      </c>
      <c r="H165" s="181"/>
      <c r="I165" s="32" t="s">
        <v>23</v>
      </c>
      <c r="J165" s="33">
        <v>300000000</v>
      </c>
      <c r="K165" s="34">
        <v>0.04</v>
      </c>
      <c r="L165" s="33">
        <f>Tabla1[[#This Row],[Monto 1% u Aporte ]]*Tabla1[[#This Row],[Tasa Propuesta Administración OTIC]]</f>
        <v>12000000</v>
      </c>
      <c r="M165" s="32" t="s">
        <v>44</v>
      </c>
      <c r="N165" s="181">
        <v>2025</v>
      </c>
      <c r="O165" s="32" t="s">
        <v>30</v>
      </c>
      <c r="P165" s="11" t="s">
        <v>1068</v>
      </c>
      <c r="Q165" s="27">
        <v>0</v>
      </c>
      <c r="R165" s="33">
        <f>Tabla1[[#This Row],[Aporte Ingresado]]-Tabla1[[#This Row],[Monto 1% u Aporte ]]</f>
        <v>-300000000</v>
      </c>
      <c r="S165" s="33" t="s">
        <v>29</v>
      </c>
      <c r="T165" s="176" t="s">
        <v>969</v>
      </c>
      <c r="U165" s="32" t="s">
        <v>465</v>
      </c>
      <c r="V165" s="186" t="s">
        <v>466</v>
      </c>
      <c r="W165" s="189"/>
      <c r="X165" s="189"/>
      <c r="Y165" s="32"/>
      <c r="Z165" s="36"/>
    </row>
    <row r="166" spans="1:26" hidden="1" x14ac:dyDescent="0.2">
      <c r="A166" s="22">
        <f t="shared" si="5"/>
        <v>136</v>
      </c>
      <c r="B166" s="174" t="s">
        <v>342</v>
      </c>
      <c r="C166" s="170" t="s">
        <v>872</v>
      </c>
      <c r="D166" s="24" t="s">
        <v>352</v>
      </c>
      <c r="E166" s="24" t="s">
        <v>352</v>
      </c>
      <c r="F166" s="126" t="s">
        <v>699</v>
      </c>
      <c r="G166" s="32" t="s">
        <v>873</v>
      </c>
      <c r="H166" s="181" t="s">
        <v>19</v>
      </c>
      <c r="I166" s="32" t="s">
        <v>23</v>
      </c>
      <c r="J166" s="33">
        <v>4000000</v>
      </c>
      <c r="K166" s="34">
        <v>0.12</v>
      </c>
      <c r="L166" s="33">
        <f>Tabla1[[#This Row],[Monto 1% u Aporte ]]*Tabla1[[#This Row],[Tasa Propuesta Administración OTIC]]</f>
        <v>480000</v>
      </c>
      <c r="M166" s="32" t="s">
        <v>44</v>
      </c>
      <c r="N166" s="181">
        <v>2025</v>
      </c>
      <c r="O166" s="32" t="s">
        <v>30</v>
      </c>
      <c r="P166" s="11" t="s">
        <v>1068</v>
      </c>
      <c r="Q166" s="27">
        <v>0</v>
      </c>
      <c r="R166" s="33">
        <f>Tabla1[[#This Row],[Aporte Ingresado]]-Tabla1[[#This Row],[Monto 1% u Aporte ]]</f>
        <v>-4000000</v>
      </c>
      <c r="S166" s="33" t="s">
        <v>29</v>
      </c>
      <c r="T166" s="176" t="s">
        <v>969</v>
      </c>
      <c r="U166" s="32" t="s">
        <v>344</v>
      </c>
      <c r="V166" s="186" t="s">
        <v>345</v>
      </c>
      <c r="W166" s="189"/>
      <c r="X166" s="189"/>
      <c r="Y166" s="32"/>
      <c r="Z166" s="36"/>
    </row>
    <row r="167" spans="1:26" hidden="1" x14ac:dyDescent="0.2">
      <c r="A167" s="22">
        <f t="shared" si="5"/>
        <v>137</v>
      </c>
      <c r="B167" s="174" t="s">
        <v>368</v>
      </c>
      <c r="C167" s="170" t="s">
        <v>872</v>
      </c>
      <c r="D167" s="24" t="s">
        <v>352</v>
      </c>
      <c r="E167" s="24" t="s">
        <v>352</v>
      </c>
      <c r="F167" s="126"/>
      <c r="G167" s="32" t="s">
        <v>873</v>
      </c>
      <c r="H167" s="181"/>
      <c r="I167" s="32" t="s">
        <v>23</v>
      </c>
      <c r="J167" s="33">
        <v>8000000</v>
      </c>
      <c r="K167" s="34">
        <v>7.0000000000000007E-2</v>
      </c>
      <c r="L167" s="33">
        <f>Tabla1[[#This Row],[Monto 1% u Aporte ]]*Tabla1[[#This Row],[Tasa Propuesta Administración OTIC]]</f>
        <v>560000</v>
      </c>
      <c r="M167" s="32" t="s">
        <v>68</v>
      </c>
      <c r="N167" s="181">
        <v>2025</v>
      </c>
      <c r="O167" s="32" t="s">
        <v>30</v>
      </c>
      <c r="P167" s="11" t="s">
        <v>1068</v>
      </c>
      <c r="Q167" s="27">
        <v>0</v>
      </c>
      <c r="R167" s="33">
        <f>Tabla1[[#This Row],[Aporte Ingresado]]-Tabla1[[#This Row],[Monto 1% u Aporte ]]</f>
        <v>-8000000</v>
      </c>
      <c r="S167" s="33" t="s">
        <v>29</v>
      </c>
      <c r="T167" s="191" t="s">
        <v>970</v>
      </c>
      <c r="U167" s="32" t="s">
        <v>369</v>
      </c>
      <c r="V167" s="186" t="s">
        <v>370</v>
      </c>
      <c r="W167" s="189"/>
      <c r="X167" s="189"/>
      <c r="Y167" s="32"/>
      <c r="Z167" s="36"/>
    </row>
    <row r="168" spans="1:26" hidden="1" x14ac:dyDescent="0.2">
      <c r="A168" s="22">
        <f t="shared" si="5"/>
        <v>138</v>
      </c>
      <c r="B168" s="174" t="s">
        <v>577</v>
      </c>
      <c r="C168" s="170" t="s">
        <v>872</v>
      </c>
      <c r="D168" s="24" t="s">
        <v>352</v>
      </c>
      <c r="E168" s="24" t="s">
        <v>352</v>
      </c>
      <c r="F168" s="126"/>
      <c r="G168" s="32" t="s">
        <v>873</v>
      </c>
      <c r="H168" s="181"/>
      <c r="I168" s="32" t="s">
        <v>23</v>
      </c>
      <c r="J168" s="33">
        <v>18000000</v>
      </c>
      <c r="K168" s="34">
        <v>0.09</v>
      </c>
      <c r="L168" s="33">
        <f>Tabla1[[#This Row],[Monto 1% u Aporte ]]*Tabla1[[#This Row],[Tasa Propuesta Administración OTIC]]</f>
        <v>1620000</v>
      </c>
      <c r="M168" s="32" t="s">
        <v>68</v>
      </c>
      <c r="N168" s="181">
        <v>2025</v>
      </c>
      <c r="O168" s="32" t="s">
        <v>30</v>
      </c>
      <c r="P168" s="35" t="s">
        <v>13</v>
      </c>
      <c r="Q168" s="27">
        <v>0</v>
      </c>
      <c r="R168" s="33">
        <f>Tabla1[[#This Row],[Aporte Ingresado]]-Tabla1[[#This Row],[Monto 1% u Aporte ]]</f>
        <v>-18000000</v>
      </c>
      <c r="S168" s="33" t="s">
        <v>29</v>
      </c>
      <c r="T168" s="176" t="s">
        <v>969</v>
      </c>
      <c r="U168" s="32" t="s">
        <v>578</v>
      </c>
      <c r="V168" s="186" t="s">
        <v>579</v>
      </c>
      <c r="W168" s="189"/>
      <c r="X168" s="189"/>
      <c r="Y168" s="32"/>
      <c r="Z168" s="36"/>
    </row>
    <row r="169" spans="1:26" hidden="1" x14ac:dyDescent="0.2">
      <c r="A169" s="22">
        <f t="shared" si="5"/>
        <v>139</v>
      </c>
      <c r="B169" s="142" t="s">
        <v>1033</v>
      </c>
      <c r="C169" s="24" t="s">
        <v>871</v>
      </c>
      <c r="D169" s="24" t="s">
        <v>352</v>
      </c>
      <c r="E169" s="24" t="s">
        <v>352</v>
      </c>
      <c r="F169" s="126"/>
      <c r="G169" s="32" t="s">
        <v>87</v>
      </c>
      <c r="H169" s="181"/>
      <c r="I169" s="26" t="s">
        <v>23</v>
      </c>
      <c r="J169" s="33">
        <v>0</v>
      </c>
      <c r="K169" s="34"/>
      <c r="L169" s="33">
        <f>Tabla1[[#This Row],[Monto 1% u Aporte ]]*Tabla1[[#This Row],[Tasa Propuesta Administración OTIC]]</f>
        <v>0</v>
      </c>
      <c r="M169" s="26" t="s">
        <v>68</v>
      </c>
      <c r="N169" s="26">
        <v>2026</v>
      </c>
      <c r="O169" s="26" t="s">
        <v>30</v>
      </c>
      <c r="P169" s="11" t="s">
        <v>95</v>
      </c>
      <c r="Q169" s="27">
        <v>0</v>
      </c>
      <c r="R169" s="33">
        <f>Tabla1[[#This Row],[Aporte Ingresado]]-Tabla1[[#This Row],[Monto 1% u Aporte ]]</f>
        <v>0</v>
      </c>
      <c r="S169" s="33" t="s">
        <v>29</v>
      </c>
      <c r="T169" s="176" t="s">
        <v>969</v>
      </c>
      <c r="U169" s="32" t="s">
        <v>1037</v>
      </c>
      <c r="V169" s="32" t="s">
        <v>1035</v>
      </c>
      <c r="Y169" s="32"/>
      <c r="Z169" s="36"/>
    </row>
    <row r="170" spans="1:26" hidden="1" x14ac:dyDescent="0.2">
      <c r="A170" s="22">
        <f t="shared" si="5"/>
        <v>140</v>
      </c>
      <c r="B170" s="143" t="s">
        <v>662</v>
      </c>
      <c r="C170" s="24" t="s">
        <v>871</v>
      </c>
      <c r="D170" s="24" t="s">
        <v>352</v>
      </c>
      <c r="E170" s="24" t="s">
        <v>352</v>
      </c>
      <c r="F170" s="126"/>
      <c r="G170" s="32" t="s">
        <v>12</v>
      </c>
      <c r="H170" s="181" t="s">
        <v>20</v>
      </c>
      <c r="I170" s="26" t="s">
        <v>23</v>
      </c>
      <c r="J170" s="33">
        <v>0</v>
      </c>
      <c r="K170" s="34">
        <v>0</v>
      </c>
      <c r="L170" s="33">
        <f>Tabla1[[#This Row],[Monto 1% u Aporte ]]*Tabla1[[#This Row],[Tasa Propuesta Administración OTIC]]</f>
        <v>0</v>
      </c>
      <c r="M170" s="26" t="s">
        <v>68</v>
      </c>
      <c r="N170" s="26" t="s">
        <v>643</v>
      </c>
      <c r="O170" s="26" t="s">
        <v>30</v>
      </c>
      <c r="P170" s="11" t="s">
        <v>14</v>
      </c>
      <c r="Q170" s="27">
        <v>0</v>
      </c>
      <c r="R170" s="33">
        <f>Tabla1[[#This Row],[Aporte Ingresado]]-Tabla1[[#This Row],[Monto 1% u Aporte ]]</f>
        <v>0</v>
      </c>
      <c r="S170" s="33" t="s">
        <v>29</v>
      </c>
      <c r="T170" s="176" t="s">
        <v>969</v>
      </c>
      <c r="U170" s="32" t="s">
        <v>664</v>
      </c>
      <c r="V170" s="186" t="s">
        <v>663</v>
      </c>
      <c r="W170" s="189"/>
      <c r="X170" s="189"/>
      <c r="Y170" s="32"/>
      <c r="Z170" s="36"/>
    </row>
    <row r="171" spans="1:26" hidden="1" x14ac:dyDescent="0.2">
      <c r="A171" s="22">
        <f t="shared" si="5"/>
        <v>141</v>
      </c>
      <c r="B171" s="205" t="s">
        <v>1038</v>
      </c>
      <c r="C171" s="170" t="s">
        <v>871</v>
      </c>
      <c r="D171" s="179" t="s">
        <v>352</v>
      </c>
      <c r="E171" s="179" t="s">
        <v>352</v>
      </c>
      <c r="F171" s="126"/>
      <c r="G171" s="32" t="s">
        <v>12</v>
      </c>
      <c r="H171" s="181"/>
      <c r="I171" s="32" t="s">
        <v>23</v>
      </c>
      <c r="J171" s="33"/>
      <c r="K171" s="34"/>
      <c r="L171" s="33">
        <f>Tabla1[[#This Row],[Monto 1% u Aporte ]]*Tabla1[[#This Row],[Tasa Propuesta Administración OTIC]]</f>
        <v>0</v>
      </c>
      <c r="M171" s="26" t="s">
        <v>68</v>
      </c>
      <c r="N171" s="32">
        <v>2026</v>
      </c>
      <c r="O171" s="32" t="s">
        <v>30</v>
      </c>
      <c r="P171" s="35" t="s">
        <v>96</v>
      </c>
      <c r="Q171" s="33">
        <v>0</v>
      </c>
      <c r="R171" s="33">
        <f>Tabla1[[#This Row],[Aporte Ingresado]]-Tabla1[[#This Row],[Monto 1% u Aporte ]]</f>
        <v>0</v>
      </c>
      <c r="S171" s="33" t="s">
        <v>29</v>
      </c>
      <c r="T171" s="176" t="s">
        <v>969</v>
      </c>
      <c r="U171" s="32" t="s">
        <v>1040</v>
      </c>
      <c r="V171" s="32" t="s">
        <v>1039</v>
      </c>
      <c r="W171" s="21" t="s">
        <v>1073</v>
      </c>
      <c r="Y171" s="32" t="s">
        <v>1074</v>
      </c>
      <c r="Z171" s="36"/>
    </row>
    <row r="172" spans="1:26" hidden="1" x14ac:dyDescent="0.2">
      <c r="A172" s="22">
        <f t="shared" si="5"/>
        <v>142</v>
      </c>
      <c r="B172" s="142" t="s">
        <v>933</v>
      </c>
      <c r="C172" s="170" t="s">
        <v>871</v>
      </c>
      <c r="D172" s="179" t="s">
        <v>352</v>
      </c>
      <c r="E172" s="179" t="s">
        <v>352</v>
      </c>
      <c r="F172" s="126"/>
      <c r="G172" s="32" t="s">
        <v>93</v>
      </c>
      <c r="H172" s="181" t="s">
        <v>20</v>
      </c>
      <c r="I172" s="32" t="s">
        <v>23</v>
      </c>
      <c r="J172" s="33"/>
      <c r="K172" s="34">
        <v>0.15</v>
      </c>
      <c r="L172" s="33">
        <f>Tabla1[[#This Row],[Monto 1% u Aporte ]]*Tabla1[[#This Row],[Tasa Propuesta Administración OTIC]]</f>
        <v>0</v>
      </c>
      <c r="M172" s="32" t="s">
        <v>68</v>
      </c>
      <c r="N172" s="32" t="s">
        <v>931</v>
      </c>
      <c r="O172" s="32" t="s">
        <v>30</v>
      </c>
      <c r="P172" s="35" t="s">
        <v>95</v>
      </c>
      <c r="Q172" s="33">
        <v>0</v>
      </c>
      <c r="R172" s="33">
        <f>Tabla1[[#This Row],[Aporte Ingresado]]-Tabla1[[#This Row],[Monto 1% u Aporte ]]</f>
        <v>0</v>
      </c>
      <c r="S172" s="33" t="s">
        <v>29</v>
      </c>
      <c r="T172" s="176" t="s">
        <v>969</v>
      </c>
      <c r="U172" s="32" t="s">
        <v>930</v>
      </c>
      <c r="V172" s="186" t="s">
        <v>929</v>
      </c>
      <c r="W172" s="189"/>
      <c r="X172" s="189"/>
      <c r="Y172" s="32" t="s">
        <v>932</v>
      </c>
      <c r="Z172" s="36">
        <v>46146</v>
      </c>
    </row>
    <row r="173" spans="1:26" ht="15" hidden="1" x14ac:dyDescent="0.25">
      <c r="A173" s="192"/>
      <c r="B173" s="174" t="s">
        <v>460</v>
      </c>
      <c r="C173" s="24" t="s">
        <v>872</v>
      </c>
      <c r="D173" s="179"/>
      <c r="E173" s="126"/>
      <c r="F173" s="126"/>
      <c r="G173" s="32" t="s">
        <v>873</v>
      </c>
      <c r="H173" s="181"/>
      <c r="I173" s="26" t="s">
        <v>23</v>
      </c>
      <c r="J173" s="33">
        <v>0</v>
      </c>
      <c r="K173" s="34">
        <v>0</v>
      </c>
      <c r="L173" s="33">
        <f>Tabla1[[#This Row],[Monto 1% u Aporte ]]*Tabla1[[#This Row],[Tasa Propuesta Administración OTIC]]</f>
        <v>0</v>
      </c>
      <c r="M173" s="32" t="s">
        <v>44</v>
      </c>
      <c r="N173" s="32">
        <v>2025</v>
      </c>
      <c r="O173" s="26" t="s">
        <v>30</v>
      </c>
      <c r="P173" s="11" t="s">
        <v>1068</v>
      </c>
      <c r="Q173" s="33">
        <v>0</v>
      </c>
      <c r="R173" s="33">
        <f>Tabla1[[#This Row],[Aporte Ingresado]]-Tabla1[[#This Row],[Monto 1% u Aporte ]]</f>
        <v>0</v>
      </c>
      <c r="S173" s="27" t="s">
        <v>29</v>
      </c>
      <c r="T173" s="175" t="s">
        <v>969</v>
      </c>
      <c r="U173" s="32" t="s">
        <v>1101</v>
      </c>
      <c r="V173" t="s">
        <v>1100</v>
      </c>
      <c r="W173" s="21" t="s">
        <v>1099</v>
      </c>
      <c r="X173" s="189" t="s">
        <v>1103</v>
      </c>
      <c r="Y173" s="32"/>
      <c r="Z173" s="36"/>
    </row>
    <row r="184" spans="17:17" x14ac:dyDescent="0.2">
      <c r="Q184" s="187">
        <f>SUM(Q3:Q183)</f>
        <v>780113321</v>
      </c>
    </row>
  </sheetData>
  <phoneticPr fontId="20" type="noConversion"/>
  <conditionalFormatting sqref="B9:B25">
    <cfRule type="cellIs" dxfId="58" priority="106" operator="lessThan">
      <formula>0</formula>
    </cfRule>
  </conditionalFormatting>
  <conditionalFormatting sqref="B3:O3 D4:F4 G4:O5 B4:B7 C4:C25 E5:F5 D5:D9 E6:O6 F7:O7 E7:E9 D14:D25 F17 H17:L17 G26:L26 B26:D31 F27:F28 H27:L28 F29:M30 F31:L31">
    <cfRule type="cellIs" dxfId="57" priority="143" operator="lessThan">
      <formula>0</formula>
    </cfRule>
  </conditionalFormatting>
  <conditionalFormatting sqref="C1:C1048576">
    <cfRule type="cellIs" dxfId="56" priority="22" operator="equal">
      <formula>"PROSPECTO"</formula>
    </cfRule>
    <cfRule type="cellIs" dxfId="55" priority="24" operator="equal">
      <formula>"AFILIADA"</formula>
    </cfRule>
  </conditionalFormatting>
  <conditionalFormatting sqref="C3:C173">
    <cfRule type="cellIs" dxfId="54" priority="23" operator="equal">
      <formula>"en gestión"</formula>
    </cfRule>
  </conditionalFormatting>
  <conditionalFormatting sqref="C69:C73">
    <cfRule type="cellIs" dxfId="53" priority="66" operator="lessThan">
      <formula>0</formula>
    </cfRule>
  </conditionalFormatting>
  <conditionalFormatting sqref="C75:C165">
    <cfRule type="cellIs" dxfId="52" priority="18" operator="lessThan">
      <formula>0</formula>
    </cfRule>
  </conditionalFormatting>
  <conditionalFormatting sqref="C169:C170">
    <cfRule type="cellIs" dxfId="51" priority="13" operator="lessThan">
      <formula>0</formula>
    </cfRule>
  </conditionalFormatting>
  <conditionalFormatting sqref="C173">
    <cfRule type="cellIs" dxfId="50" priority="4" operator="lessThan">
      <formula>0</formula>
    </cfRule>
  </conditionalFormatting>
  <conditionalFormatting sqref="D169:D170">
    <cfRule type="cellIs" dxfId="49" priority="10" operator="lessThan">
      <formula>0</formula>
    </cfRule>
  </conditionalFormatting>
  <conditionalFormatting sqref="D10:E11">
    <cfRule type="cellIs" dxfId="48" priority="107" operator="lessThan">
      <formula>0</formula>
    </cfRule>
  </conditionalFormatting>
  <conditionalFormatting sqref="D166:E168">
    <cfRule type="cellIs" dxfId="47" priority="15" operator="lessThan">
      <formula>0</formula>
    </cfRule>
  </conditionalFormatting>
  <conditionalFormatting sqref="D12:F12 D13:E13">
    <cfRule type="cellIs" dxfId="46" priority="112" operator="lessThan">
      <formula>0</formula>
    </cfRule>
  </conditionalFormatting>
  <conditionalFormatting sqref="E69:E165">
    <cfRule type="cellIs" dxfId="45" priority="35" operator="lessThan">
      <formula>0</formula>
    </cfRule>
  </conditionalFormatting>
  <conditionalFormatting sqref="E169:E170">
    <cfRule type="cellIs" dxfId="44" priority="9" operator="lessThan">
      <formula>0</formula>
    </cfRule>
  </conditionalFormatting>
  <conditionalFormatting sqref="F8:F11">
    <cfRule type="cellIs" dxfId="43" priority="101" operator="lessThan">
      <formula>0</formula>
    </cfRule>
  </conditionalFormatting>
  <conditionalFormatting sqref="F13">
    <cfRule type="cellIs" dxfId="42" priority="97" operator="lessThan">
      <formula>0</formula>
    </cfRule>
  </conditionalFormatting>
  <conditionalFormatting sqref="F169:F170">
    <cfRule type="cellIs" dxfId="41" priority="12" operator="lessThan">
      <formula>0</formula>
    </cfRule>
  </conditionalFormatting>
  <conditionalFormatting sqref="G15">
    <cfRule type="cellIs" dxfId="40" priority="128" operator="lessThan">
      <formula>0</formula>
    </cfRule>
  </conditionalFormatting>
  <conditionalFormatting sqref="G17">
    <cfRule type="cellIs" dxfId="39" priority="134" operator="lessThan">
      <formula>0</formula>
    </cfRule>
  </conditionalFormatting>
  <conditionalFormatting sqref="G27:G28">
    <cfRule type="cellIs" dxfId="38" priority="74" operator="lessThan">
      <formula>0</formula>
    </cfRule>
  </conditionalFormatting>
  <conditionalFormatting sqref="G32">
    <cfRule type="cellIs" dxfId="37" priority="72" operator="lessThan">
      <formula>0</formula>
    </cfRule>
  </conditionalFormatting>
  <conditionalFormatting sqref="G38:G39">
    <cfRule type="cellIs" dxfId="36" priority="116" operator="lessThan">
      <formula>0</formula>
    </cfRule>
  </conditionalFormatting>
  <conditionalFormatting sqref="H50:H51 H75 H80:H81 H85 H90 H106">
    <cfRule type="cellIs" dxfId="35" priority="52" operator="lessThan">
      <formula>0</formula>
    </cfRule>
  </conditionalFormatting>
  <conditionalFormatting sqref="H15:I15">
    <cfRule type="cellIs" dxfId="34" priority="142" operator="lessThan">
      <formula>0</formula>
    </cfRule>
  </conditionalFormatting>
  <conditionalFormatting sqref="H15:O15">
    <cfRule type="cellIs" dxfId="33" priority="140" operator="lessThan">
      <formula>0</formula>
    </cfRule>
  </conditionalFormatting>
  <conditionalFormatting sqref="I33">
    <cfRule type="cellIs" dxfId="32" priority="119" operator="lessThan">
      <formula>0</formula>
    </cfRule>
  </conditionalFormatting>
  <conditionalFormatting sqref="M16:M28">
    <cfRule type="cellIs" dxfId="31" priority="19" operator="lessThan">
      <formula>0</formula>
    </cfRule>
  </conditionalFormatting>
  <conditionalFormatting sqref="M31">
    <cfRule type="cellIs" dxfId="30" priority="65" operator="lessThan">
      <formula>0</formula>
    </cfRule>
  </conditionalFormatting>
  <conditionalFormatting sqref="M74:M75 M77 M95 M107:M108 M116:M117 M123 M125 M139:M141 M144:M145 M147">
    <cfRule type="cellIs" dxfId="29" priority="51" operator="lessThan">
      <formula>0</formula>
    </cfRule>
  </conditionalFormatting>
  <conditionalFormatting sqref="M169:M171">
    <cfRule type="cellIs" dxfId="28" priority="7" operator="lessThan">
      <formula>0</formula>
    </cfRule>
  </conditionalFormatting>
  <conditionalFormatting sqref="R32">
    <cfRule type="cellIs" dxfId="21" priority="121" operator="lessThan">
      <formula>0</formula>
    </cfRule>
  </conditionalFormatting>
  <conditionalFormatting sqref="R3:S31 G8:O14 E16:L16 O16:O32 E17:E31 F18:L25 B26:C31 V32:V35 E51 E52:F68">
    <cfRule type="cellIs" dxfId="20" priority="124" operator="lessThan">
      <formula>0</formula>
    </cfRule>
  </conditionalFormatting>
  <conditionalFormatting sqref="S173">
    <cfRule type="cellIs" dxfId="19" priority="3" operator="lessThan">
      <formula>0</formula>
    </cfRule>
  </conditionalFormatting>
  <conditionalFormatting sqref="T2:T1048576">
    <cfRule type="cellIs" dxfId="18" priority="39" operator="equal">
      <formula>"Activo"</formula>
    </cfRule>
  </conditionalFormatting>
  <conditionalFormatting sqref="T85:T106 T108:T116 T118:T129">
    <cfRule type="cellIs" dxfId="17" priority="41" operator="lessThan">
      <formula>0</formula>
    </cfRule>
  </conditionalFormatting>
  <conditionalFormatting sqref="T136:T161">
    <cfRule type="cellIs" dxfId="16" priority="32" operator="lessThan">
      <formula>0</formula>
    </cfRule>
  </conditionalFormatting>
  <conditionalFormatting sqref="T173">
    <cfRule type="cellIs" dxfId="15" priority="2" operator="lessThan">
      <formula>0</formula>
    </cfRule>
  </conditionalFormatting>
  <conditionalFormatting sqref="V3 Y3:Z31 U4:V31 W38:X39 W42:X53 B42:B66 F69:F152 D69:D160 T131:T134">
    <cfRule type="cellIs" dxfId="14" priority="92" operator="lessThan">
      <formula>0</formula>
    </cfRule>
  </conditionalFormatting>
  <conditionalFormatting sqref="V38:V39">
    <cfRule type="cellIs" dxfId="13" priority="114" operator="lessThan">
      <formula>0</formula>
    </cfRule>
  </conditionalFormatting>
  <conditionalFormatting sqref="V42:V53">
    <cfRule type="cellIs" dxfId="12" priority="62" operator="lessThan">
      <formula>0</formula>
    </cfRule>
  </conditionalFormatting>
  <conditionalFormatting sqref="W3:X35 T3:T83 A3:A173 Q3:Q173 N16:N33 B32:B33 H32:H33 E32:F50 C32:D68 M33 S33:S159 B84">
    <cfRule type="cellIs" dxfId="11" priority="42" operator="lessThan">
      <formula>0</formula>
    </cfRule>
  </conditionalFormatting>
  <conditionalFormatting sqref="W69:X69">
    <cfRule type="cellIs" dxfId="10" priority="6" operator="lessThan">
      <formula>0</formula>
    </cfRule>
  </conditionalFormatting>
  <conditionalFormatting sqref="Y32">
    <cfRule type="cellIs" dxfId="9" priority="5" operator="lessThan">
      <formula>0</formula>
    </cfRule>
  </conditionalFormatting>
  <conditionalFormatting sqref="Y98">
    <cfRule type="cellIs" dxfId="8" priority="1" operator="lessThan">
      <formula>0</formula>
    </cfRule>
  </conditionalFormatting>
  <hyperlinks>
    <hyperlink ref="V64" r:id="rId1" xr:uid="{4EDE33B5-48DB-482B-9B9E-1C33A6DC0D68}"/>
    <hyperlink ref="V31" r:id="rId2" xr:uid="{8E26EC15-1476-42E6-B7A5-85A219700BCE}"/>
    <hyperlink ref="V63" r:id="rId3" display="jeannette.retamal@heavenward.cl" xr:uid="{1BA97059-6BB1-4F28-B610-37EFC64B9B1D}"/>
    <hyperlink ref="V12" r:id="rId4" display="Fernanda.Nunez@fourpoints.com, " xr:uid="{A5B02561-8ADB-45A7-B95E-08D8E05FEF81}"/>
    <hyperlink ref="U58" r:id="rId5" display="pedro.caballero@gxo.com" xr:uid="{458CD047-2CB1-40FC-9163-2167E2CCCBEC}"/>
    <hyperlink ref="V69" r:id="rId6" xr:uid="{76349D81-1881-4C91-9654-E27A057D7E5A}"/>
    <hyperlink ref="V70" r:id="rId7" xr:uid="{E565DEED-CCAA-48E0-B084-4440E70B65C2}"/>
    <hyperlink ref="V3" r:id="rId8" xr:uid="{617F7B49-C2FD-4992-973E-798E2F688131}"/>
    <hyperlink ref="V80" r:id="rId9" xr:uid="{367A2BEA-EE23-4B6D-9B11-B1A6E7C93629}"/>
    <hyperlink ref="V13" r:id="rId10" xr:uid="{011833E7-8271-4E13-AAC9-84D732E23F10}"/>
    <hyperlink ref="V85" r:id="rId11" display="psoto@moreau.ca, " xr:uid="{1F780D24-CD2A-4DC9-8985-2E3EBDF33843}"/>
    <hyperlink ref="V170" r:id="rId12" xr:uid="{728BE719-3004-4D9B-8E97-2DFDE14C3797}"/>
    <hyperlink ref="V81" r:id="rId13" xr:uid="{4FD9A7BE-92F3-4A86-91B3-3BE7ABF8A0F8}"/>
    <hyperlink ref="V33" r:id="rId14" xr:uid="{D5036835-F291-4AB8-879C-8DCE009D6894}"/>
    <hyperlink ref="V52" r:id="rId15" xr:uid="{329B6FA6-1DBD-4BB2-B1A8-92E6EF620B66}"/>
    <hyperlink ref="V42" r:id="rId16" xr:uid="{F1AD1DEE-D358-439E-B708-A79F30153F81}"/>
    <hyperlink ref="V74" r:id="rId17" xr:uid="{F08B7DB5-6210-4623-B111-A9EEE0B2E36C}"/>
    <hyperlink ref="V17" r:id="rId18" xr:uid="{52C3D0F1-D94F-46C6-88BE-32979DF21DAA}"/>
    <hyperlink ref="V72" r:id="rId19" xr:uid="{A20E357D-0F3F-4723-971D-5E1C2497BE1D}"/>
    <hyperlink ref="V79" r:id="rId20" xr:uid="{772FF1D8-BD4C-4EDF-8EAD-5C74DD4EB7EE}"/>
    <hyperlink ref="V83" r:id="rId21" xr:uid="{F954E8C2-570F-4D10-ACA8-E2E62F6BE3DA}"/>
    <hyperlink ref="V160" r:id="rId22" xr:uid="{199D67CD-E9FF-4893-8756-F3CB9A0D525E}"/>
    <hyperlink ref="V129" r:id="rId23" xr:uid="{045CCD89-87F3-4677-9276-341DC6A7750F}"/>
    <hyperlink ref="V166" r:id="rId24" xr:uid="{4797C1AD-50F6-4AF9-AC06-873C030374A0}"/>
    <hyperlink ref="V115" r:id="rId25" xr:uid="{D81C7EDF-9C0C-4D33-82CA-C0ADA5700817}"/>
    <hyperlink ref="V107" r:id="rId26" xr:uid="{B2738C41-0B20-485C-AFF0-00083814AA87}"/>
    <hyperlink ref="V102" r:id="rId27" xr:uid="{9B69E2D1-CD1E-44A7-979E-C4422024CD8B}"/>
    <hyperlink ref="V100" r:id="rId28" xr:uid="{80A82F6C-9CDE-4A13-95C0-0265B1840900}"/>
    <hyperlink ref="V161" r:id="rId29" xr:uid="{092EFABA-F647-435C-9330-56753DD3DAF3}"/>
    <hyperlink ref="V148" r:id="rId30" xr:uid="{2C5C9F11-EBD9-479A-B91A-6950B22590BD}"/>
    <hyperlink ref="V97" r:id="rId31" xr:uid="{229791E6-F4A1-48D8-A396-473B659C1AE4}"/>
    <hyperlink ref="V114" r:id="rId32" xr:uid="{367DC0DD-851F-4940-B28E-B6B003EDFAEB}"/>
    <hyperlink ref="V133" r:id="rId33" xr:uid="{CFC72639-AD9F-4223-B2CD-2A7C2096CD27}"/>
    <hyperlink ref="V121" r:id="rId34" xr:uid="{B0F3FCAF-275A-440B-9017-71AA76079D79}"/>
    <hyperlink ref="V106" r:id="rId35" xr:uid="{E5941A52-9FAF-4F26-821F-2D24F5BEF371}"/>
    <hyperlink ref="V167" r:id="rId36" display="romina_antilef@wvi.org" xr:uid="{E5305F97-EE0C-48C9-8BA6-EB17A3A1184E}"/>
    <hyperlink ref="V122" r:id="rId37" xr:uid="{9FB6125F-F8D6-4E2B-AD73-C5019BB45654}"/>
    <hyperlink ref="V137" r:id="rId38" xr:uid="{328426D3-5454-4BD6-AD4C-A65D28C5C2C7}"/>
    <hyperlink ref="V124" r:id="rId39" xr:uid="{3F954D88-8C2C-4F9E-B895-A44B213C5B09}"/>
    <hyperlink ref="V139" r:id="rId40" xr:uid="{74D81D95-1052-4DE6-AD80-DFE259572356}"/>
    <hyperlink ref="V128" r:id="rId41" xr:uid="{FECB9F13-AE08-4E1D-8715-C0A63EB3652A}"/>
    <hyperlink ref="V158" r:id="rId42" xr:uid="{AB9A140E-9159-4ABD-8AD7-9D1F23EF3705}"/>
    <hyperlink ref="V104" r:id="rId43" xr:uid="{B64A2E1C-A420-4475-8553-7FB5CD8F522E}"/>
    <hyperlink ref="V157" r:id="rId44" xr:uid="{1E0520F0-2DF7-46DE-BBAA-7BD87B427C6F}"/>
    <hyperlink ref="V95" r:id="rId45" xr:uid="{5E1A197E-5148-42A4-8B43-A6B9C51388FF}"/>
    <hyperlink ref="V116" r:id="rId46" xr:uid="{96E40164-73AA-47E8-BE8D-21AFD6556CE7}"/>
    <hyperlink ref="V118" r:id="rId47" xr:uid="{111A91E6-6991-443F-AB42-219AEBDB762E}"/>
    <hyperlink ref="V136" r:id="rId48" xr:uid="{49F94BAD-EAB7-4339-978D-4DAAB361C673}"/>
    <hyperlink ref="V119" r:id="rId49" xr:uid="{529A4E0A-9876-4E7D-A963-8F6F5F168205}"/>
    <hyperlink ref="V144" r:id="rId50" xr:uid="{8EC97F91-F253-47A9-AD3D-5FE65E7DF06C}"/>
    <hyperlink ref="V113" r:id="rId51" xr:uid="{52B323FE-62BC-49E7-A365-BB85183BCFDA}"/>
    <hyperlink ref="V123" r:id="rId52" xr:uid="{EC5D9EDA-FB45-4CBD-9DD8-2C95B1843177}"/>
    <hyperlink ref="V60" r:id="rId53" xr:uid="{748190EC-5BD8-42B9-B254-611B7FDD2CD9}"/>
    <hyperlink ref="V39" r:id="rId54" xr:uid="{1A1CF84C-0065-4396-B874-3CCB56BDB26F}"/>
    <hyperlink ref="V46" r:id="rId55" display="mailto:david.millie@oxiquim.com" xr:uid="{3C3B48D6-4C17-48E2-B278-046750485F11}"/>
    <hyperlink ref="V65" r:id="rId56" xr:uid="{C1982881-1171-4A27-82F0-2CBE71000683}"/>
    <hyperlink ref="V169" r:id="rId57" xr:uid="{8D8DE9E9-3710-4008-9BB4-D2890F3D840C}"/>
    <hyperlink ref="V171" r:id="rId58" xr:uid="{6B440B15-A532-4109-974A-A42C2B488FB5}"/>
    <hyperlink ref="V87" r:id="rId59" xr:uid="{E72766CF-B918-4010-AE88-E3E350AE7DAE}"/>
  </hyperlinks>
  <pageMargins left="0.7" right="0.7" top="0.75" bottom="0.75" header="0.3" footer="0.3"/>
  <pageSetup orientation="portrait" r:id="rId60"/>
  <tableParts count="1">
    <tablePart r:id="rId6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8" operator="equal" id="{376B6ED3-16D3-45AC-9E63-86E8BD12AE43}">
            <xm:f>Indicadores!$D$3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O2:O1048576</xm:sqref>
        </x14:conditionalFormatting>
        <x14:conditionalFormatting xmlns:xm="http://schemas.microsoft.com/office/excel/2006/main">
          <x14:cfRule type="cellIs" priority="135" operator="equal" id="{5D5018CF-F525-4AC1-9090-BB0F37B1DDAC}">
            <xm:f>Indicadores!$F$4</xm:f>
            <x14:dxf>
              <fill>
                <patternFill>
                  <bgColor rgb="FFFFCDD2"/>
                </patternFill>
              </fill>
            </x14:dxf>
          </x14:cfRule>
          <x14:cfRule type="cellIs" priority="137" operator="equal" id="{40CB2E4C-CA41-4CE4-B1AD-4E49EB95EDF0}">
            <xm:f>Indicadores!$F$6</xm:f>
            <x14:dxf>
              <fill>
                <patternFill>
                  <bgColor rgb="FFE1BEE7"/>
                </patternFill>
              </fill>
            </x14:dxf>
          </x14:cfRule>
          <x14:cfRule type="cellIs" priority="138" operator="equal" id="{7D3AF938-0F3E-4DC2-9D6D-C5922E3713E1}">
            <xm:f>Indicadores!$F$5</xm:f>
            <x14:dxf>
              <fill>
                <patternFill>
                  <bgColor rgb="FFBBDEFB"/>
                </patternFill>
              </fill>
            </x14:dxf>
          </x14:cfRule>
          <x14:cfRule type="cellIs" priority="139" operator="equal" id="{36B76005-1E79-4318-ADC2-E218F233EB4F}">
            <xm:f>Indicadores!$F$3</xm:f>
            <x14:dxf>
              <fill>
                <patternFill>
                  <bgColor rgb="FFC8E6C9"/>
                </patternFill>
              </fill>
            </x14:dxf>
          </x14:cfRule>
          <x14:cfRule type="cellIs" priority="136" operator="equal" id="{E785BC8D-7624-4AC7-9D05-D2D400A0C53C}">
            <xm:f>Indicadores!$F$7</xm:f>
            <x14:dxf>
              <fill>
                <patternFill>
                  <bgColor rgb="FFFFE0B2"/>
                </patternFill>
              </fill>
            </x14:dxf>
          </x14:cfRule>
          <xm:sqref>P2:P1048576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F2FEB70-35AE-47A6-A10C-160DD7BEAEED}">
          <x14:formula1>
            <xm:f>Indicadores!$F$3:$F$8</xm:f>
          </x14:formula1>
          <xm:sqref>P174:P1048576</xm:sqref>
        </x14:dataValidation>
        <x14:dataValidation type="list" allowBlank="1" showInputMessage="1" showErrorMessage="1" xr:uid="{F86971D3-B34B-40AE-BEA8-38BFADEAE178}">
          <x14:formula1>
            <xm:f>Indicadores!$B$3:$B$4</xm:f>
          </x14:formula1>
          <xm:sqref>H3:H173</xm:sqref>
        </x14:dataValidation>
        <x14:dataValidation type="list" allowBlank="1" showInputMessage="1" showErrorMessage="1" xr:uid="{7F1F4060-D6F0-47C1-9FF6-9C860D3C4357}">
          <x14:formula1>
            <xm:f>Indicadores!$C$3:$C$7</xm:f>
          </x14:formula1>
          <xm:sqref>I3:I173</xm:sqref>
        </x14:dataValidation>
        <x14:dataValidation type="list" allowBlank="1" showInputMessage="1" showErrorMessage="1" xr:uid="{5A2608FD-B4FE-4D99-B45A-8A5EBA7C8FBE}">
          <x14:formula1>
            <xm:f>Indicadores!$E$3:$E$11</xm:f>
          </x14:formula1>
          <xm:sqref>M3:M173</xm:sqref>
        </x14:dataValidation>
        <x14:dataValidation type="list" allowBlank="1" showInputMessage="1" showErrorMessage="1" xr:uid="{FBFC5FD9-3F94-4BC9-AC48-B42D0375F6B4}">
          <x14:formula1>
            <xm:f>Indicadores!$A$3:$A$12</xm:f>
          </x14:formula1>
          <xm:sqref>G3:G173</xm:sqref>
        </x14:dataValidation>
        <x14:dataValidation type="list" allowBlank="1" showInputMessage="1" showErrorMessage="1" xr:uid="{F526F147-1AD2-4BD2-8022-51BE5894B827}">
          <x14:formula1>
            <xm:f>Indicadores!$D$3:$D$12</xm:f>
          </x14:formula1>
          <xm:sqref>O2:O1048576</xm:sqref>
        </x14:dataValidation>
        <x14:dataValidation type="list" allowBlank="1" showInputMessage="1" showErrorMessage="1" xr:uid="{EB0684AA-BDCF-4419-A181-ACD37D735CBC}">
          <x14:formula1>
            <xm:f>Indicadores!$F$3:$F$9</xm:f>
          </x14:formula1>
          <xm:sqref>P3:P173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0820-A4BD-497A-B931-66FFCCE998BE}">
  <dimension ref="A3:D33"/>
  <sheetViews>
    <sheetView topLeftCell="A4" workbookViewId="0">
      <selection activeCell="D6" sqref="D6"/>
    </sheetView>
  </sheetViews>
  <sheetFormatPr baseColWidth="10" defaultRowHeight="15" x14ac:dyDescent="0.25"/>
  <cols>
    <col min="1" max="1" width="13.7109375" bestFit="1" customWidth="1"/>
    <col min="2" max="2" width="55" bestFit="1" customWidth="1"/>
    <col min="3" max="3" width="11.140625" bestFit="1" customWidth="1"/>
    <col min="4" max="4" width="12.7109375" bestFit="1" customWidth="1"/>
  </cols>
  <sheetData>
    <row r="3" spans="1:4" x14ac:dyDescent="0.25">
      <c r="A3" s="156" t="s">
        <v>862</v>
      </c>
    </row>
    <row r="4" spans="1:4" x14ac:dyDescent="0.25">
      <c r="A4" s="156" t="s">
        <v>21</v>
      </c>
      <c r="B4" s="156" t="s">
        <v>763</v>
      </c>
      <c r="C4" t="s">
        <v>1066</v>
      </c>
    </row>
    <row r="5" spans="1:4" x14ac:dyDescent="0.25">
      <c r="A5" t="s">
        <v>838</v>
      </c>
      <c r="B5" t="s">
        <v>837</v>
      </c>
      <c r="C5" s="154">
        <v>41000000</v>
      </c>
      <c r="D5" s="195"/>
    </row>
    <row r="6" spans="1:4" x14ac:dyDescent="0.25">
      <c r="B6" t="s">
        <v>842</v>
      </c>
      <c r="C6" s="154">
        <v>212000000</v>
      </c>
      <c r="D6" s="195"/>
    </row>
    <row r="7" spans="1:4" x14ac:dyDescent="0.25">
      <c r="B7" t="s">
        <v>708</v>
      </c>
      <c r="C7" s="154">
        <v>8000000</v>
      </c>
      <c r="D7" s="195"/>
    </row>
    <row r="8" spans="1:4" x14ac:dyDescent="0.25">
      <c r="A8" t="s">
        <v>902</v>
      </c>
      <c r="B8" t="s">
        <v>1055</v>
      </c>
      <c r="C8" s="154">
        <v>1000000</v>
      </c>
      <c r="D8" s="195"/>
    </row>
    <row r="9" spans="1:4" x14ac:dyDescent="0.25">
      <c r="A9" t="s">
        <v>829</v>
      </c>
      <c r="B9" t="s">
        <v>828</v>
      </c>
      <c r="C9" s="154">
        <v>500000</v>
      </c>
      <c r="D9" s="195"/>
    </row>
    <row r="10" spans="1:4" x14ac:dyDescent="0.25">
      <c r="A10" t="s">
        <v>859</v>
      </c>
      <c r="B10" t="s">
        <v>858</v>
      </c>
      <c r="C10" s="154">
        <v>240000000</v>
      </c>
      <c r="D10" s="195"/>
    </row>
    <row r="11" spans="1:4" x14ac:dyDescent="0.25">
      <c r="A11" t="s">
        <v>896</v>
      </c>
      <c r="B11" t="s">
        <v>1056</v>
      </c>
      <c r="C11" s="154">
        <v>456522</v>
      </c>
      <c r="D11" s="195"/>
    </row>
    <row r="12" spans="1:4" x14ac:dyDescent="0.25">
      <c r="A12" t="s">
        <v>809</v>
      </c>
      <c r="B12" t="s">
        <v>677</v>
      </c>
      <c r="C12" s="154">
        <v>113859329</v>
      </c>
      <c r="D12" s="195"/>
    </row>
    <row r="13" spans="1:4" x14ac:dyDescent="0.25">
      <c r="B13" t="s">
        <v>832</v>
      </c>
      <c r="C13" s="154">
        <v>5700000</v>
      </c>
      <c r="D13" s="195"/>
    </row>
    <row r="14" spans="1:4" x14ac:dyDescent="0.25">
      <c r="B14" t="s">
        <v>854</v>
      </c>
      <c r="C14" s="154">
        <v>43594855</v>
      </c>
      <c r="D14" s="195"/>
    </row>
    <row r="15" spans="1:4" x14ac:dyDescent="0.25">
      <c r="B15" t="s">
        <v>1057</v>
      </c>
      <c r="C15" s="154">
        <v>2088791</v>
      </c>
      <c r="D15" s="195"/>
    </row>
    <row r="16" spans="1:4" x14ac:dyDescent="0.25">
      <c r="B16" t="s">
        <v>1063</v>
      </c>
      <c r="C16" s="154">
        <v>17537368</v>
      </c>
      <c r="D16" s="195"/>
    </row>
    <row r="17" spans="2:4" x14ac:dyDescent="0.25">
      <c r="B17" t="s">
        <v>835</v>
      </c>
      <c r="C17" s="154">
        <v>2597647</v>
      </c>
      <c r="D17" s="195"/>
    </row>
    <row r="18" spans="2:4" x14ac:dyDescent="0.25">
      <c r="B18" t="s">
        <v>1065</v>
      </c>
      <c r="C18" s="154">
        <v>7526896</v>
      </c>
      <c r="D18" s="195"/>
    </row>
    <row r="19" spans="2:4" x14ac:dyDescent="0.25">
      <c r="B19" t="s">
        <v>852</v>
      </c>
      <c r="C19" s="154">
        <v>5000000</v>
      </c>
      <c r="D19" s="195"/>
    </row>
    <row r="20" spans="2:4" x14ac:dyDescent="0.25">
      <c r="B20" t="s">
        <v>850</v>
      </c>
      <c r="C20" s="154">
        <v>2000000</v>
      </c>
      <c r="D20" s="195"/>
    </row>
    <row r="21" spans="2:4" x14ac:dyDescent="0.25">
      <c r="B21" t="s">
        <v>856</v>
      </c>
      <c r="C21" s="154">
        <v>1000000</v>
      </c>
      <c r="D21" s="195"/>
    </row>
    <row r="22" spans="2:4" x14ac:dyDescent="0.25">
      <c r="B22" t="s">
        <v>1064</v>
      </c>
      <c r="C22" s="154">
        <v>1980000</v>
      </c>
      <c r="D22" s="195"/>
    </row>
    <row r="23" spans="2:4" x14ac:dyDescent="0.25">
      <c r="B23" t="s">
        <v>825</v>
      </c>
      <c r="C23" s="154">
        <v>22750000</v>
      </c>
      <c r="D23" s="195"/>
    </row>
    <row r="24" spans="2:4" x14ac:dyDescent="0.25">
      <c r="B24" t="s">
        <v>844</v>
      </c>
      <c r="C24" s="154">
        <v>750000</v>
      </c>
      <c r="D24" s="195"/>
    </row>
    <row r="25" spans="2:4" x14ac:dyDescent="0.25">
      <c r="B25" t="s">
        <v>675</v>
      </c>
      <c r="C25" s="154">
        <v>1419818</v>
      </c>
      <c r="D25" s="195"/>
    </row>
    <row r="26" spans="2:4" x14ac:dyDescent="0.25">
      <c r="B26" t="s">
        <v>673</v>
      </c>
      <c r="C26" s="154">
        <v>3745063</v>
      </c>
      <c r="D26" s="195"/>
    </row>
    <row r="27" spans="2:4" x14ac:dyDescent="0.25">
      <c r="B27" t="s">
        <v>823</v>
      </c>
      <c r="C27" s="154">
        <v>2387964</v>
      </c>
      <c r="D27" s="195"/>
    </row>
    <row r="28" spans="2:4" x14ac:dyDescent="0.25">
      <c r="B28" t="s">
        <v>807</v>
      </c>
      <c r="C28" s="154">
        <v>1431108</v>
      </c>
      <c r="D28" s="195"/>
    </row>
    <row r="29" spans="2:4" x14ac:dyDescent="0.25">
      <c r="B29" t="s">
        <v>819</v>
      </c>
      <c r="C29" s="154">
        <v>1190280</v>
      </c>
      <c r="D29" s="195"/>
    </row>
    <row r="30" spans="2:4" x14ac:dyDescent="0.25">
      <c r="B30" t="s">
        <v>817</v>
      </c>
      <c r="C30" s="154">
        <v>20227954</v>
      </c>
      <c r="D30" s="195"/>
    </row>
    <row r="31" spans="2:4" x14ac:dyDescent="0.25">
      <c r="B31" t="s">
        <v>815</v>
      </c>
      <c r="C31" s="154">
        <v>6757826</v>
      </c>
      <c r="D31" s="195"/>
    </row>
    <row r="32" spans="2:4" x14ac:dyDescent="0.25">
      <c r="B32" t="s">
        <v>821</v>
      </c>
      <c r="C32" s="154">
        <v>13611900</v>
      </c>
      <c r="D32" s="195"/>
    </row>
    <row r="33" spans="1:4" x14ac:dyDescent="0.25">
      <c r="A33" t="s">
        <v>861</v>
      </c>
      <c r="C33" s="154">
        <v>780113321</v>
      </c>
      <c r="D33" s="19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5B1B-13F9-41A8-9E49-414AA1250B36}">
  <dimension ref="A3:D25"/>
  <sheetViews>
    <sheetView zoomScaleNormal="100" workbookViewId="0">
      <selection activeCell="K4" sqref="K4"/>
    </sheetView>
  </sheetViews>
  <sheetFormatPr baseColWidth="10" defaultRowHeight="15" x14ac:dyDescent="0.25"/>
  <cols>
    <col min="1" max="1" width="26" bestFit="1" customWidth="1"/>
    <col min="2" max="2" width="26.7109375" bestFit="1" customWidth="1"/>
    <col min="3" max="4" width="13" bestFit="1" customWidth="1"/>
  </cols>
  <sheetData>
    <row r="3" spans="1:2" x14ac:dyDescent="0.25">
      <c r="A3" s="156" t="s">
        <v>878</v>
      </c>
      <c r="B3" t="s">
        <v>880</v>
      </c>
    </row>
    <row r="4" spans="1:2" x14ac:dyDescent="0.25">
      <c r="A4" s="5" t="s">
        <v>881</v>
      </c>
      <c r="B4">
        <v>20</v>
      </c>
    </row>
    <row r="5" spans="1:2" x14ac:dyDescent="0.25">
      <c r="A5" s="5" t="s">
        <v>96</v>
      </c>
      <c r="B5">
        <v>21</v>
      </c>
    </row>
    <row r="6" spans="1:2" x14ac:dyDescent="0.25">
      <c r="A6" s="5" t="s">
        <v>15</v>
      </c>
      <c r="B6">
        <v>7</v>
      </c>
    </row>
    <row r="7" spans="1:2" x14ac:dyDescent="0.25">
      <c r="A7" s="5" t="s">
        <v>882</v>
      </c>
      <c r="B7">
        <v>29</v>
      </c>
    </row>
    <row r="8" spans="1:2" x14ac:dyDescent="0.25">
      <c r="A8" s="5" t="s">
        <v>873</v>
      </c>
      <c r="B8">
        <v>74</v>
      </c>
    </row>
    <row r="9" spans="1:2" x14ac:dyDescent="0.25">
      <c r="A9" s="5" t="s">
        <v>14</v>
      </c>
      <c r="B9">
        <v>4</v>
      </c>
    </row>
    <row r="10" spans="1:2" x14ac:dyDescent="0.25">
      <c r="A10" s="5" t="s">
        <v>861</v>
      </c>
      <c r="B10">
        <v>153</v>
      </c>
    </row>
    <row r="19" spans="1:4" x14ac:dyDescent="0.25">
      <c r="A19" s="156" t="s">
        <v>862</v>
      </c>
      <c r="B19" s="156" t="s">
        <v>927</v>
      </c>
    </row>
    <row r="20" spans="1:4" x14ac:dyDescent="0.25">
      <c r="A20" s="156" t="s">
        <v>878</v>
      </c>
      <c r="B20" s="159">
        <v>2025</v>
      </c>
      <c r="C20" s="159">
        <v>2026</v>
      </c>
      <c r="D20" s="159" t="s">
        <v>861</v>
      </c>
    </row>
    <row r="21" spans="1:4" x14ac:dyDescent="0.25">
      <c r="A21" s="5" t="s">
        <v>923</v>
      </c>
      <c r="B21" s="157">
        <v>2976471</v>
      </c>
      <c r="C21" s="157">
        <v>120400000</v>
      </c>
      <c r="D21" s="157">
        <v>123376471</v>
      </c>
    </row>
    <row r="22" spans="1:4" x14ac:dyDescent="0.25">
      <c r="A22" s="5" t="s">
        <v>924</v>
      </c>
      <c r="B22" s="157">
        <v>13832110</v>
      </c>
      <c r="C22" s="157">
        <v>12269881</v>
      </c>
      <c r="D22" s="157">
        <v>26101991</v>
      </c>
    </row>
    <row r="23" spans="1:4" x14ac:dyDescent="0.25">
      <c r="A23" s="5" t="s">
        <v>925</v>
      </c>
      <c r="B23" s="157">
        <v>87165144</v>
      </c>
      <c r="C23" s="157">
        <v>140701933</v>
      </c>
      <c r="D23" s="157">
        <v>227867077</v>
      </c>
    </row>
    <row r="24" spans="1:4" x14ac:dyDescent="0.25">
      <c r="A24" s="5" t="s">
        <v>926</v>
      </c>
      <c r="B24" s="157">
        <v>87570475</v>
      </c>
      <c r="C24" s="157">
        <v>134879032</v>
      </c>
      <c r="D24" s="157">
        <v>222449507</v>
      </c>
    </row>
    <row r="25" spans="1:4" x14ac:dyDescent="0.25">
      <c r="A25" s="5" t="s">
        <v>861</v>
      </c>
      <c r="B25" s="157">
        <v>191544200</v>
      </c>
      <c r="C25" s="157">
        <v>408250846</v>
      </c>
      <c r="D25" s="157">
        <v>599795046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CCC1-E2C7-451C-A2B7-ED78F367BB43}">
  <dimension ref="A3:I64"/>
  <sheetViews>
    <sheetView topLeftCell="A56" workbookViewId="0">
      <selection activeCell="C70" sqref="C70"/>
    </sheetView>
  </sheetViews>
  <sheetFormatPr baseColWidth="10" defaultRowHeight="15" x14ac:dyDescent="0.25"/>
  <cols>
    <col min="1" max="1" width="23.140625" bestFit="1" customWidth="1"/>
    <col min="2" max="4" width="26.140625" bestFit="1" customWidth="1"/>
    <col min="5" max="5" width="12.7109375" bestFit="1" customWidth="1"/>
    <col min="7" max="7" width="14.28515625" bestFit="1" customWidth="1"/>
    <col min="8" max="8" width="22.7109375" bestFit="1" customWidth="1"/>
  </cols>
  <sheetData>
    <row r="3" spans="1:3" ht="29.25" customHeight="1" x14ac:dyDescent="0.25">
      <c r="A3" s="169" t="s">
        <v>928</v>
      </c>
      <c r="B3" s="169" t="s">
        <v>879</v>
      </c>
      <c r="C3" s="169" t="s">
        <v>885</v>
      </c>
    </row>
    <row r="4" spans="1:3" x14ac:dyDescent="0.25">
      <c r="A4" s="5" t="s">
        <v>74</v>
      </c>
      <c r="B4" s="158">
        <v>350000000</v>
      </c>
      <c r="C4" s="158">
        <v>242088791</v>
      </c>
    </row>
    <row r="5" spans="1:3" x14ac:dyDescent="0.25">
      <c r="A5" s="5" t="s">
        <v>12</v>
      </c>
      <c r="B5" s="158">
        <v>396904163</v>
      </c>
      <c r="C5" s="158">
        <v>47107032</v>
      </c>
    </row>
    <row r="6" spans="1:3" x14ac:dyDescent="0.25">
      <c r="A6" s="5" t="s">
        <v>111</v>
      </c>
      <c r="B6" s="158">
        <v>212200000</v>
      </c>
      <c r="C6" s="158">
        <v>49037368</v>
      </c>
    </row>
    <row r="7" spans="1:3" x14ac:dyDescent="0.25">
      <c r="A7" s="197" t="s">
        <v>873</v>
      </c>
      <c r="B7" s="198">
        <v>3851297792</v>
      </c>
      <c r="C7" s="198">
        <v>0</v>
      </c>
    </row>
    <row r="8" spans="1:3" x14ac:dyDescent="0.25">
      <c r="A8" s="5" t="s">
        <v>86</v>
      </c>
      <c r="B8" s="158">
        <v>16000000</v>
      </c>
      <c r="C8" s="158">
        <v>3054169</v>
      </c>
    </row>
    <row r="9" spans="1:3" x14ac:dyDescent="0.25">
      <c r="A9" s="5" t="s">
        <v>88</v>
      </c>
      <c r="B9" s="158">
        <v>55000000</v>
      </c>
      <c r="C9" s="158">
        <v>7680000</v>
      </c>
    </row>
    <row r="10" spans="1:3" x14ac:dyDescent="0.25">
      <c r="A10" s="5" t="s">
        <v>89</v>
      </c>
      <c r="B10" s="158">
        <v>561368214</v>
      </c>
      <c r="C10" s="158">
        <v>220000000</v>
      </c>
    </row>
    <row r="11" spans="1:3" x14ac:dyDescent="0.25">
      <c r="A11" s="5" t="s">
        <v>87</v>
      </c>
      <c r="B11" s="158">
        <v>1760000000</v>
      </c>
      <c r="C11" s="158">
        <v>48526896</v>
      </c>
    </row>
    <row r="12" spans="1:3" x14ac:dyDescent="0.25">
      <c r="A12" s="5" t="s">
        <v>93</v>
      </c>
      <c r="B12" s="158">
        <v>493000000</v>
      </c>
      <c r="C12" s="158">
        <v>162619065</v>
      </c>
    </row>
    <row r="13" spans="1:3" x14ac:dyDescent="0.25">
      <c r="A13" s="165" t="s">
        <v>861</v>
      </c>
      <c r="B13" s="168">
        <v>7695770169</v>
      </c>
      <c r="C13" s="168">
        <v>780113321</v>
      </c>
    </row>
    <row r="19" spans="1:9" x14ac:dyDescent="0.25">
      <c r="G19" s="207" t="s">
        <v>1069</v>
      </c>
      <c r="H19" s="207"/>
      <c r="I19" s="207"/>
    </row>
    <row r="20" spans="1:9" x14ac:dyDescent="0.25">
      <c r="A20" s="163" t="s">
        <v>886</v>
      </c>
      <c r="B20" s="164" t="s">
        <v>884</v>
      </c>
      <c r="C20" s="164" t="s">
        <v>887</v>
      </c>
      <c r="D20" s="164" t="s">
        <v>879</v>
      </c>
      <c r="E20" s="164" t="s">
        <v>883</v>
      </c>
      <c r="G20" s="201">
        <v>4000000000</v>
      </c>
      <c r="H20" s="201">
        <f>E21</f>
        <v>780113321</v>
      </c>
      <c r="I20" s="202">
        <f>H20*1/G20</f>
        <v>0.19502833024999999</v>
      </c>
    </row>
    <row r="21" spans="1:9" x14ac:dyDescent="0.25">
      <c r="A21" s="5" t="s">
        <v>881</v>
      </c>
      <c r="B21" s="149">
        <v>20</v>
      </c>
      <c r="C21" s="166">
        <v>0.13071895424836602</v>
      </c>
      <c r="D21" s="158">
        <v>1592600000</v>
      </c>
      <c r="E21" s="158">
        <v>780113321</v>
      </c>
    </row>
    <row r="22" spans="1:9" x14ac:dyDescent="0.25">
      <c r="A22" s="5" t="s">
        <v>96</v>
      </c>
      <c r="B22" s="149">
        <v>21</v>
      </c>
      <c r="C22" s="166">
        <v>0.13725490196078433</v>
      </c>
      <c r="D22" s="158">
        <v>8500000</v>
      </c>
      <c r="E22" s="158">
        <v>0</v>
      </c>
    </row>
    <row r="23" spans="1:9" x14ac:dyDescent="0.25">
      <c r="A23" s="5" t="s">
        <v>15</v>
      </c>
      <c r="B23" s="149">
        <v>7</v>
      </c>
      <c r="C23" s="166">
        <v>4.5751633986928102E-2</v>
      </c>
      <c r="D23" s="158">
        <v>209681899</v>
      </c>
      <c r="E23" s="158">
        <v>0</v>
      </c>
    </row>
    <row r="24" spans="1:9" x14ac:dyDescent="0.25">
      <c r="A24" s="5" t="s">
        <v>882</v>
      </c>
      <c r="B24" s="149">
        <v>29</v>
      </c>
      <c r="C24" s="166">
        <v>0.18954248366013071</v>
      </c>
      <c r="D24" s="158">
        <v>2040053544</v>
      </c>
      <c r="E24" s="158">
        <v>0</v>
      </c>
    </row>
    <row r="25" spans="1:9" x14ac:dyDescent="0.25">
      <c r="A25" s="5" t="s">
        <v>873</v>
      </c>
      <c r="B25" s="149">
        <v>74</v>
      </c>
      <c r="C25" s="166">
        <v>0.48366013071895425</v>
      </c>
      <c r="D25" s="158">
        <v>3824797792</v>
      </c>
      <c r="E25" s="158">
        <v>0</v>
      </c>
    </row>
    <row r="26" spans="1:9" x14ac:dyDescent="0.25">
      <c r="A26" s="5" t="s">
        <v>14</v>
      </c>
      <c r="B26" s="149">
        <v>4</v>
      </c>
      <c r="C26" s="166">
        <v>2.6143790849673203E-2</v>
      </c>
      <c r="D26" s="158">
        <v>20136934</v>
      </c>
      <c r="E26" s="158">
        <v>0</v>
      </c>
    </row>
    <row r="27" spans="1:9" x14ac:dyDescent="0.25">
      <c r="A27" s="165" t="s">
        <v>861</v>
      </c>
      <c r="B27" s="199">
        <v>153</v>
      </c>
      <c r="C27" s="167">
        <v>1</v>
      </c>
      <c r="D27" s="168">
        <v>7695770169</v>
      </c>
      <c r="E27" s="168">
        <v>780113321</v>
      </c>
    </row>
    <row r="29" spans="1:9" x14ac:dyDescent="0.25">
      <c r="A29" s="156" t="s">
        <v>886</v>
      </c>
      <c r="B29" s="164" t="s">
        <v>884</v>
      </c>
      <c r="C29" s="164" t="s">
        <v>879</v>
      </c>
      <c r="D29" s="164" t="s">
        <v>883</v>
      </c>
      <c r="G29" s="200" t="s">
        <v>1070</v>
      </c>
      <c r="H29" s="200" t="s">
        <v>1071</v>
      </c>
    </row>
    <row r="30" spans="1:9" x14ac:dyDescent="0.25">
      <c r="A30" s="5" t="s">
        <v>964</v>
      </c>
      <c r="B30">
        <v>28</v>
      </c>
      <c r="C30" s="158">
        <v>1574600000</v>
      </c>
      <c r="D30" s="158">
        <v>780113321</v>
      </c>
      <c r="G30" t="s">
        <v>838</v>
      </c>
      <c r="H30" s="154">
        <v>261000000</v>
      </c>
    </row>
    <row r="31" spans="1:9" x14ac:dyDescent="0.25">
      <c r="A31" s="5" t="s">
        <v>871</v>
      </c>
      <c r="B31">
        <v>44</v>
      </c>
      <c r="C31" s="158">
        <v>2269872377</v>
      </c>
      <c r="D31" s="158">
        <v>0</v>
      </c>
      <c r="G31" t="s">
        <v>902</v>
      </c>
      <c r="H31" s="154">
        <v>1000000</v>
      </c>
    </row>
    <row r="32" spans="1:9" x14ac:dyDescent="0.25">
      <c r="A32" s="5" t="s">
        <v>872</v>
      </c>
      <c r="B32">
        <v>95</v>
      </c>
      <c r="C32" s="158">
        <v>3851297792</v>
      </c>
      <c r="D32" s="158">
        <v>0</v>
      </c>
      <c r="G32" t="s">
        <v>829</v>
      </c>
      <c r="H32" s="154">
        <v>500000</v>
      </c>
    </row>
    <row r="33" spans="1:8" x14ac:dyDescent="0.25">
      <c r="A33" s="165" t="s">
        <v>861</v>
      </c>
      <c r="B33" s="196">
        <v>167</v>
      </c>
      <c r="C33" s="168">
        <v>7695770169</v>
      </c>
      <c r="D33" s="168">
        <v>780113321</v>
      </c>
      <c r="G33" t="s">
        <v>859</v>
      </c>
      <c r="H33" s="154">
        <v>240000000</v>
      </c>
    </row>
    <row r="34" spans="1:8" x14ac:dyDescent="0.25">
      <c r="G34" t="s">
        <v>896</v>
      </c>
      <c r="H34" s="154">
        <v>456522</v>
      </c>
    </row>
    <row r="35" spans="1:8" x14ac:dyDescent="0.25">
      <c r="G35" t="s">
        <v>809</v>
      </c>
      <c r="H35" s="154">
        <v>277156799</v>
      </c>
    </row>
    <row r="36" spans="1:8" x14ac:dyDescent="0.25">
      <c r="G36" s="203" t="s">
        <v>861</v>
      </c>
      <c r="H36" s="203">
        <v>780113321</v>
      </c>
    </row>
    <row r="40" spans="1:8" x14ac:dyDescent="0.25">
      <c r="A40" s="164" t="s">
        <v>886</v>
      </c>
      <c r="B40" s="164" t="s">
        <v>879</v>
      </c>
      <c r="C40" s="164" t="s">
        <v>883</v>
      </c>
    </row>
    <row r="41" spans="1:8" x14ac:dyDescent="0.25">
      <c r="A41" s="5" t="s">
        <v>964</v>
      </c>
      <c r="B41" s="158"/>
      <c r="C41" s="158"/>
    </row>
    <row r="42" spans="1:8" x14ac:dyDescent="0.25">
      <c r="A42" s="188" t="s">
        <v>523</v>
      </c>
      <c r="B42" s="158">
        <v>300000000</v>
      </c>
      <c r="C42" s="158">
        <v>119024210</v>
      </c>
    </row>
    <row r="43" spans="1:8" x14ac:dyDescent="0.25">
      <c r="A43" s="188" t="s">
        <v>105</v>
      </c>
      <c r="B43" s="158">
        <v>1600000</v>
      </c>
      <c r="C43" s="158">
        <v>750000</v>
      </c>
    </row>
    <row r="44" spans="1:8" x14ac:dyDescent="0.25">
      <c r="A44" s="188" t="s">
        <v>877</v>
      </c>
      <c r="B44" s="158">
        <v>0</v>
      </c>
      <c r="C44" s="158">
        <v>500000</v>
      </c>
    </row>
    <row r="45" spans="1:8" x14ac:dyDescent="0.25">
      <c r="A45" s="188" t="s">
        <v>1030</v>
      </c>
      <c r="B45" s="158">
        <v>50000000</v>
      </c>
      <c r="C45" s="158">
        <v>5700000</v>
      </c>
    </row>
    <row r="46" spans="1:8" x14ac:dyDescent="0.25">
      <c r="A46" s="188" t="s">
        <v>682</v>
      </c>
      <c r="B46" s="158">
        <v>30000000</v>
      </c>
      <c r="C46" s="158">
        <v>7526896</v>
      </c>
    </row>
    <row r="47" spans="1:8" x14ac:dyDescent="0.25">
      <c r="A47" s="188" t="s">
        <v>1047</v>
      </c>
      <c r="B47" s="158">
        <v>20000000</v>
      </c>
      <c r="C47" s="158">
        <v>2088791</v>
      </c>
    </row>
    <row r="48" spans="1:8" x14ac:dyDescent="0.25">
      <c r="A48" s="188" t="s">
        <v>143</v>
      </c>
      <c r="B48" s="158">
        <v>80000000</v>
      </c>
      <c r="C48" s="158">
        <v>17537368</v>
      </c>
    </row>
    <row r="49" spans="1:3" x14ac:dyDescent="0.25">
      <c r="A49" s="188" t="s">
        <v>722</v>
      </c>
      <c r="B49" s="158">
        <v>16000000</v>
      </c>
      <c r="C49" s="158">
        <v>2597647</v>
      </c>
    </row>
    <row r="50" spans="1:3" x14ac:dyDescent="0.25">
      <c r="A50" s="188" t="s">
        <v>1067</v>
      </c>
      <c r="B50" s="158">
        <v>0</v>
      </c>
      <c r="C50" s="158">
        <v>1000000</v>
      </c>
    </row>
    <row r="51" spans="1:3" x14ac:dyDescent="0.25">
      <c r="A51" s="188" t="s">
        <v>80</v>
      </c>
      <c r="B51" s="158">
        <v>10000000</v>
      </c>
      <c r="C51" s="158">
        <v>1000000</v>
      </c>
    </row>
    <row r="52" spans="1:3" x14ac:dyDescent="0.25">
      <c r="A52" s="188" t="s">
        <v>623</v>
      </c>
      <c r="B52" s="158">
        <v>30000000</v>
      </c>
      <c r="C52" s="158">
        <v>7000000</v>
      </c>
    </row>
    <row r="53" spans="1:3" x14ac:dyDescent="0.25">
      <c r="A53" s="188" t="s">
        <v>50</v>
      </c>
      <c r="B53" s="158">
        <v>500000000</v>
      </c>
      <c r="C53" s="158">
        <v>220000000</v>
      </c>
    </row>
    <row r="54" spans="1:3" x14ac:dyDescent="0.25">
      <c r="A54" s="188" t="s">
        <v>683</v>
      </c>
      <c r="B54" s="158">
        <v>5000000</v>
      </c>
      <c r="C54" s="158">
        <v>1980000</v>
      </c>
    </row>
    <row r="55" spans="1:3" x14ac:dyDescent="0.25">
      <c r="A55" s="188" t="s">
        <v>1031</v>
      </c>
      <c r="B55" s="158">
        <v>50000000</v>
      </c>
      <c r="C55" s="158">
        <v>22750000</v>
      </c>
    </row>
    <row r="56" spans="1:3" x14ac:dyDescent="0.25">
      <c r="A56" s="188" t="s">
        <v>1062</v>
      </c>
      <c r="B56" s="158">
        <v>0</v>
      </c>
      <c r="C56" s="158">
        <v>456522</v>
      </c>
    </row>
    <row r="57" spans="1:3" x14ac:dyDescent="0.25">
      <c r="A57" s="188" t="s">
        <v>94</v>
      </c>
      <c r="B57" s="158">
        <v>120000000</v>
      </c>
      <c r="C57" s="158">
        <v>43594855</v>
      </c>
    </row>
    <row r="58" spans="1:3" x14ac:dyDescent="0.25">
      <c r="A58" s="188" t="s">
        <v>135</v>
      </c>
      <c r="B58" s="158">
        <v>82000000</v>
      </c>
      <c r="C58" s="158">
        <v>41000000</v>
      </c>
    </row>
    <row r="59" spans="1:3" x14ac:dyDescent="0.25">
      <c r="A59" s="188" t="s">
        <v>85</v>
      </c>
      <c r="B59" s="158">
        <v>240000000</v>
      </c>
      <c r="C59" s="158">
        <v>240000000</v>
      </c>
    </row>
    <row r="60" spans="1:3" x14ac:dyDescent="0.25">
      <c r="A60" s="188" t="s">
        <v>1032</v>
      </c>
      <c r="B60" s="158">
        <v>40000000</v>
      </c>
      <c r="C60" s="158">
        <v>45607032</v>
      </c>
    </row>
    <row r="61" spans="1:3" x14ac:dyDescent="0.25">
      <c r="A61" s="5" t="s">
        <v>1072</v>
      </c>
      <c r="B61" s="158">
        <v>1574600000</v>
      </c>
      <c r="C61" s="158">
        <v>780113321</v>
      </c>
    </row>
    <row r="62" spans="1:3" x14ac:dyDescent="0.25">
      <c r="A62" s="5" t="s">
        <v>871</v>
      </c>
      <c r="B62" s="158">
        <v>2269872377</v>
      </c>
      <c r="C62" s="158">
        <v>0</v>
      </c>
    </row>
    <row r="63" spans="1:3" x14ac:dyDescent="0.25">
      <c r="A63" s="5" t="s">
        <v>872</v>
      </c>
      <c r="B63" s="158">
        <v>3851297792</v>
      </c>
      <c r="C63" s="158">
        <v>0</v>
      </c>
    </row>
    <row r="64" spans="1:3" x14ac:dyDescent="0.25">
      <c r="A64" s="165" t="s">
        <v>861</v>
      </c>
      <c r="B64" s="168">
        <v>7695770169</v>
      </c>
      <c r="C64" s="168">
        <v>780113321</v>
      </c>
    </row>
  </sheetData>
  <mergeCells count="1">
    <mergeCell ref="G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4B7B-686B-489A-AC80-600E4475DD9D}">
  <dimension ref="A1:AA85"/>
  <sheetViews>
    <sheetView workbookViewId="0">
      <selection activeCell="M73" sqref="M73"/>
    </sheetView>
  </sheetViews>
  <sheetFormatPr baseColWidth="10" defaultRowHeight="15" x14ac:dyDescent="0.25"/>
  <cols>
    <col min="10" max="10" width="11.42578125" style="149"/>
    <col min="11" max="11" width="11.42578125" style="159"/>
    <col min="12" max="12" width="12.7109375" customWidth="1"/>
    <col min="16" max="16" width="12.7109375" customWidth="1"/>
    <col min="23" max="23" width="13.5703125" customWidth="1"/>
    <col min="24" max="26" width="13.28515625" customWidth="1"/>
    <col min="27" max="27" width="12.7109375" customWidth="1"/>
  </cols>
  <sheetData>
    <row r="1" spans="1:27" x14ac:dyDescent="0.25">
      <c r="A1" t="s">
        <v>783</v>
      </c>
      <c r="B1" t="s">
        <v>784</v>
      </c>
      <c r="C1" t="s">
        <v>785</v>
      </c>
      <c r="D1" t="s">
        <v>786</v>
      </c>
      <c r="E1" t="s">
        <v>787</v>
      </c>
      <c r="F1" t="s">
        <v>763</v>
      </c>
      <c r="G1" t="s">
        <v>788</v>
      </c>
      <c r="H1" t="s">
        <v>789</v>
      </c>
      <c r="I1" t="s">
        <v>790</v>
      </c>
      <c r="J1" s="149" t="s">
        <v>922</v>
      </c>
      <c r="K1" s="159" t="s">
        <v>921</v>
      </c>
      <c r="L1" t="s">
        <v>791</v>
      </c>
      <c r="M1" t="s">
        <v>792</v>
      </c>
      <c r="N1" t="s">
        <v>793</v>
      </c>
      <c r="O1" t="s">
        <v>21</v>
      </c>
      <c r="P1" t="s">
        <v>794</v>
      </c>
      <c r="Q1" t="s">
        <v>795</v>
      </c>
      <c r="R1" t="s">
        <v>796</v>
      </c>
      <c r="S1" t="s">
        <v>797</v>
      </c>
      <c r="T1" t="s">
        <v>798</v>
      </c>
      <c r="U1" t="s">
        <v>799</v>
      </c>
      <c r="V1" t="s">
        <v>800</v>
      </c>
      <c r="W1" t="s">
        <v>801</v>
      </c>
      <c r="X1" t="s">
        <v>802</v>
      </c>
      <c r="Y1" t="s">
        <v>803</v>
      </c>
      <c r="Z1" t="s">
        <v>804</v>
      </c>
      <c r="AA1" t="s">
        <v>805</v>
      </c>
    </row>
    <row r="2" spans="1:27" x14ac:dyDescent="0.25">
      <c r="A2">
        <v>1</v>
      </c>
      <c r="B2">
        <v>64667</v>
      </c>
      <c r="C2">
        <v>0</v>
      </c>
      <c r="D2">
        <v>0</v>
      </c>
      <c r="E2" t="s">
        <v>888</v>
      </c>
      <c r="F2" t="s">
        <v>889</v>
      </c>
      <c r="G2">
        <v>1</v>
      </c>
      <c r="H2" s="154">
        <v>30787776</v>
      </c>
      <c r="I2" s="155">
        <v>45775</v>
      </c>
      <c r="J2" s="160" t="str">
        <f>PROPER(TEXT(I2,"mmm"))</f>
        <v>Abr</v>
      </c>
      <c r="K2" s="159">
        <f>YEAR(I2)</f>
        <v>2025</v>
      </c>
      <c r="L2" s="155">
        <v>45775</v>
      </c>
      <c r="M2">
        <v>7</v>
      </c>
      <c r="N2" t="s">
        <v>808</v>
      </c>
      <c r="O2" t="s">
        <v>859</v>
      </c>
      <c r="P2" t="s">
        <v>810</v>
      </c>
      <c r="Q2" t="s">
        <v>860</v>
      </c>
      <c r="R2" t="s">
        <v>890</v>
      </c>
      <c r="S2">
        <v>7</v>
      </c>
      <c r="T2">
        <v>0</v>
      </c>
      <c r="U2">
        <v>0</v>
      </c>
      <c r="W2">
        <v>2155144</v>
      </c>
      <c r="X2">
        <v>2155144</v>
      </c>
      <c r="Y2">
        <v>0</v>
      </c>
      <c r="Z2">
        <v>0</v>
      </c>
      <c r="AA2" t="s">
        <v>891</v>
      </c>
    </row>
    <row r="3" spans="1:27" x14ac:dyDescent="0.25">
      <c r="A3">
        <v>2</v>
      </c>
      <c r="B3">
        <v>64628</v>
      </c>
      <c r="C3">
        <v>0</v>
      </c>
      <c r="D3">
        <v>0</v>
      </c>
      <c r="E3" t="s">
        <v>892</v>
      </c>
      <c r="F3" t="s">
        <v>893</v>
      </c>
      <c r="G3">
        <v>1</v>
      </c>
      <c r="H3" s="154">
        <v>30000000</v>
      </c>
      <c r="I3" s="155">
        <v>45772</v>
      </c>
      <c r="J3" s="160" t="str">
        <f t="shared" ref="J3:J55" si="0">PROPER(TEXT(I3,"mmm"))</f>
        <v>Abr</v>
      </c>
      <c r="K3" s="159">
        <f t="shared" ref="K3:K55" si="1">YEAR(I3)</f>
        <v>2025</v>
      </c>
      <c r="L3" s="155">
        <v>45772</v>
      </c>
      <c r="M3">
        <v>15</v>
      </c>
      <c r="N3" t="s">
        <v>808</v>
      </c>
      <c r="O3" t="s">
        <v>809</v>
      </c>
      <c r="P3" t="s">
        <v>810</v>
      </c>
      <c r="Q3" t="s">
        <v>811</v>
      </c>
      <c r="R3" t="s">
        <v>890</v>
      </c>
      <c r="S3">
        <v>4</v>
      </c>
      <c r="T3">
        <v>11</v>
      </c>
      <c r="U3">
        <v>0</v>
      </c>
      <c r="W3">
        <v>4500000</v>
      </c>
      <c r="X3">
        <v>1200000</v>
      </c>
      <c r="Y3">
        <v>3300000</v>
      </c>
      <c r="Z3">
        <v>0</v>
      </c>
      <c r="AA3" t="s">
        <v>891</v>
      </c>
    </row>
    <row r="4" spans="1:27" x14ac:dyDescent="0.25">
      <c r="A4">
        <v>3</v>
      </c>
      <c r="B4">
        <v>64586</v>
      </c>
      <c r="C4">
        <v>0</v>
      </c>
      <c r="D4">
        <v>0</v>
      </c>
      <c r="E4" t="s">
        <v>894</v>
      </c>
      <c r="F4" t="s">
        <v>895</v>
      </c>
      <c r="G4">
        <v>1</v>
      </c>
      <c r="H4" s="154">
        <v>5000000</v>
      </c>
      <c r="I4" s="155">
        <v>45769</v>
      </c>
      <c r="J4" s="160" t="str">
        <f t="shared" si="0"/>
        <v>Abr</v>
      </c>
      <c r="K4" s="159">
        <f t="shared" si="1"/>
        <v>2025</v>
      </c>
      <c r="L4" s="155">
        <v>45769</v>
      </c>
      <c r="M4">
        <v>10</v>
      </c>
      <c r="N4" t="s">
        <v>808</v>
      </c>
      <c r="O4" t="s">
        <v>896</v>
      </c>
      <c r="P4" t="s">
        <v>810</v>
      </c>
      <c r="Q4" t="s">
        <v>897</v>
      </c>
      <c r="R4" t="s">
        <v>890</v>
      </c>
      <c r="S4">
        <v>10</v>
      </c>
      <c r="T4">
        <v>0</v>
      </c>
      <c r="U4">
        <v>0</v>
      </c>
      <c r="W4">
        <v>500000</v>
      </c>
      <c r="X4">
        <v>500000</v>
      </c>
      <c r="Y4">
        <v>0</v>
      </c>
      <c r="Z4">
        <v>0</v>
      </c>
      <c r="AA4" t="s">
        <v>891</v>
      </c>
    </row>
    <row r="5" spans="1:27" x14ac:dyDescent="0.25">
      <c r="A5">
        <v>4</v>
      </c>
      <c r="B5">
        <v>64587</v>
      </c>
      <c r="C5">
        <v>0</v>
      </c>
      <c r="D5">
        <v>0</v>
      </c>
      <c r="E5" t="s">
        <v>894</v>
      </c>
      <c r="F5" t="s">
        <v>895</v>
      </c>
      <c r="G5">
        <v>1</v>
      </c>
      <c r="H5" s="154">
        <v>5000000</v>
      </c>
      <c r="I5" s="155">
        <v>45769</v>
      </c>
      <c r="J5" s="160" t="str">
        <f t="shared" si="0"/>
        <v>Abr</v>
      </c>
      <c r="K5" s="159">
        <f t="shared" si="1"/>
        <v>2025</v>
      </c>
      <c r="L5" s="155">
        <v>45769</v>
      </c>
      <c r="M5">
        <v>10</v>
      </c>
      <c r="N5" t="s">
        <v>808</v>
      </c>
      <c r="O5" t="s">
        <v>896</v>
      </c>
      <c r="P5" t="s">
        <v>810</v>
      </c>
      <c r="Q5" t="s">
        <v>897</v>
      </c>
      <c r="R5" t="s">
        <v>890</v>
      </c>
      <c r="S5">
        <v>10</v>
      </c>
      <c r="T5">
        <v>0</v>
      </c>
      <c r="U5">
        <v>0</v>
      </c>
      <c r="W5">
        <v>500000</v>
      </c>
      <c r="X5">
        <v>500000</v>
      </c>
      <c r="Y5">
        <v>0</v>
      </c>
      <c r="Z5">
        <v>0</v>
      </c>
      <c r="AA5" t="s">
        <v>891</v>
      </c>
    </row>
    <row r="6" spans="1:27" x14ac:dyDescent="0.25">
      <c r="A6">
        <v>5</v>
      </c>
      <c r="B6">
        <v>64588</v>
      </c>
      <c r="C6">
        <v>0</v>
      </c>
      <c r="D6">
        <v>0</v>
      </c>
      <c r="E6" t="s">
        <v>894</v>
      </c>
      <c r="F6" t="s">
        <v>895</v>
      </c>
      <c r="G6">
        <v>1</v>
      </c>
      <c r="H6" s="154">
        <v>5000000</v>
      </c>
      <c r="I6" s="155">
        <v>45769</v>
      </c>
      <c r="J6" s="160" t="str">
        <f t="shared" si="0"/>
        <v>Abr</v>
      </c>
      <c r="K6" s="159">
        <f t="shared" si="1"/>
        <v>2025</v>
      </c>
      <c r="L6" s="155">
        <v>45769</v>
      </c>
      <c r="M6">
        <v>10</v>
      </c>
      <c r="N6" t="s">
        <v>808</v>
      </c>
      <c r="O6" t="s">
        <v>896</v>
      </c>
      <c r="P6" t="s">
        <v>810</v>
      </c>
      <c r="Q6" t="s">
        <v>897</v>
      </c>
      <c r="R6" t="s">
        <v>890</v>
      </c>
      <c r="S6">
        <v>10</v>
      </c>
      <c r="T6">
        <v>0</v>
      </c>
      <c r="U6">
        <v>0</v>
      </c>
      <c r="W6">
        <v>500000</v>
      </c>
      <c r="X6">
        <v>500000</v>
      </c>
      <c r="Y6">
        <v>0</v>
      </c>
      <c r="Z6">
        <v>0</v>
      </c>
      <c r="AA6" t="s">
        <v>891</v>
      </c>
    </row>
    <row r="7" spans="1:27" x14ac:dyDescent="0.25">
      <c r="A7">
        <v>6</v>
      </c>
      <c r="B7">
        <v>64589</v>
      </c>
      <c r="C7">
        <v>0</v>
      </c>
      <c r="D7">
        <v>0</v>
      </c>
      <c r="E7" t="s">
        <v>894</v>
      </c>
      <c r="F7" t="s">
        <v>895</v>
      </c>
      <c r="G7">
        <v>1</v>
      </c>
      <c r="H7" s="154">
        <v>5000000</v>
      </c>
      <c r="I7" s="155">
        <v>45769</v>
      </c>
      <c r="J7" s="160" t="str">
        <f t="shared" si="0"/>
        <v>Abr</v>
      </c>
      <c r="K7" s="159">
        <f t="shared" si="1"/>
        <v>2025</v>
      </c>
      <c r="L7" s="155">
        <v>45769</v>
      </c>
      <c r="M7">
        <v>10</v>
      </c>
      <c r="N7" t="s">
        <v>808</v>
      </c>
      <c r="O7" t="s">
        <v>896</v>
      </c>
      <c r="P7" t="s">
        <v>810</v>
      </c>
      <c r="Q7" t="s">
        <v>897</v>
      </c>
      <c r="R7" t="s">
        <v>890</v>
      </c>
      <c r="S7">
        <v>10</v>
      </c>
      <c r="T7">
        <v>0</v>
      </c>
      <c r="U7">
        <v>0</v>
      </c>
      <c r="W7">
        <v>500000</v>
      </c>
      <c r="X7">
        <v>500000</v>
      </c>
      <c r="Y7">
        <v>0</v>
      </c>
      <c r="Z7">
        <v>0</v>
      </c>
      <c r="AA7" t="s">
        <v>891</v>
      </c>
    </row>
    <row r="8" spans="1:27" x14ac:dyDescent="0.25">
      <c r="A8">
        <v>7</v>
      </c>
      <c r="B8">
        <v>64541</v>
      </c>
      <c r="C8">
        <v>0</v>
      </c>
      <c r="D8">
        <v>0</v>
      </c>
      <c r="E8" t="s">
        <v>898</v>
      </c>
      <c r="F8" t="s">
        <v>899</v>
      </c>
      <c r="G8">
        <v>1</v>
      </c>
      <c r="H8" s="154">
        <v>4588</v>
      </c>
      <c r="I8" s="155">
        <v>45758</v>
      </c>
      <c r="J8" s="160" t="str">
        <f t="shared" si="0"/>
        <v>Abr</v>
      </c>
      <c r="K8" s="159">
        <f t="shared" si="1"/>
        <v>2025</v>
      </c>
      <c r="L8" s="155">
        <v>45758</v>
      </c>
      <c r="M8">
        <v>15</v>
      </c>
      <c r="N8" t="s">
        <v>808</v>
      </c>
      <c r="O8" t="s">
        <v>896</v>
      </c>
      <c r="P8" t="s">
        <v>810</v>
      </c>
      <c r="Q8" t="s">
        <v>897</v>
      </c>
      <c r="R8" t="s">
        <v>890</v>
      </c>
      <c r="S8">
        <v>5</v>
      </c>
      <c r="T8">
        <v>10</v>
      </c>
      <c r="U8">
        <v>0</v>
      </c>
      <c r="W8">
        <v>688</v>
      </c>
      <c r="X8">
        <v>229</v>
      </c>
      <c r="Y8">
        <v>459</v>
      </c>
      <c r="Z8">
        <v>0</v>
      </c>
      <c r="AA8" t="s">
        <v>891</v>
      </c>
    </row>
    <row r="9" spans="1:27" x14ac:dyDescent="0.25">
      <c r="A9">
        <v>8</v>
      </c>
      <c r="B9">
        <v>64429</v>
      </c>
      <c r="C9">
        <v>0</v>
      </c>
      <c r="D9">
        <v>0</v>
      </c>
      <c r="E9" t="s">
        <v>900</v>
      </c>
      <c r="F9" t="s">
        <v>901</v>
      </c>
      <c r="G9">
        <v>1</v>
      </c>
      <c r="H9" s="154">
        <v>1648787</v>
      </c>
      <c r="I9" s="155">
        <v>45755</v>
      </c>
      <c r="J9" s="160" t="str">
        <f t="shared" si="0"/>
        <v>Abr</v>
      </c>
      <c r="K9" s="159">
        <f t="shared" si="1"/>
        <v>2025</v>
      </c>
      <c r="L9" s="155">
        <v>45755</v>
      </c>
      <c r="M9">
        <v>7</v>
      </c>
      <c r="N9" t="s">
        <v>808</v>
      </c>
      <c r="O9" t="s">
        <v>902</v>
      </c>
      <c r="P9" t="s">
        <v>810</v>
      </c>
      <c r="Q9" t="s">
        <v>860</v>
      </c>
      <c r="R9" t="s">
        <v>890</v>
      </c>
      <c r="S9">
        <v>7</v>
      </c>
      <c r="T9">
        <v>0</v>
      </c>
      <c r="U9">
        <v>0</v>
      </c>
      <c r="W9">
        <v>115415</v>
      </c>
      <c r="X9">
        <v>115415</v>
      </c>
      <c r="Y9">
        <v>0</v>
      </c>
      <c r="Z9">
        <v>0</v>
      </c>
      <c r="AA9" t="s">
        <v>891</v>
      </c>
    </row>
    <row r="10" spans="1:27" x14ac:dyDescent="0.25">
      <c r="A10">
        <v>9</v>
      </c>
      <c r="B10">
        <v>64430</v>
      </c>
      <c r="C10">
        <v>0</v>
      </c>
      <c r="D10">
        <v>0</v>
      </c>
      <c r="E10" t="s">
        <v>903</v>
      </c>
      <c r="F10" t="s">
        <v>904</v>
      </c>
      <c r="G10">
        <v>1</v>
      </c>
      <c r="H10" s="154">
        <v>3087695</v>
      </c>
      <c r="I10" s="155">
        <v>45755</v>
      </c>
      <c r="J10" s="160" t="str">
        <f t="shared" si="0"/>
        <v>Abr</v>
      </c>
      <c r="K10" s="159">
        <f t="shared" si="1"/>
        <v>2025</v>
      </c>
      <c r="L10" s="155">
        <v>45755</v>
      </c>
      <c r="M10">
        <v>7</v>
      </c>
      <c r="N10" t="s">
        <v>808</v>
      </c>
      <c r="O10" t="s">
        <v>902</v>
      </c>
      <c r="P10" t="s">
        <v>810</v>
      </c>
      <c r="Q10" t="s">
        <v>860</v>
      </c>
      <c r="R10" t="s">
        <v>890</v>
      </c>
      <c r="S10">
        <v>7</v>
      </c>
      <c r="T10">
        <v>0</v>
      </c>
      <c r="U10">
        <v>0</v>
      </c>
      <c r="W10">
        <v>216139</v>
      </c>
      <c r="X10">
        <v>216139</v>
      </c>
      <c r="Y10">
        <v>0</v>
      </c>
      <c r="Z10">
        <v>0</v>
      </c>
      <c r="AA10" t="s">
        <v>891</v>
      </c>
    </row>
    <row r="11" spans="1:27" x14ac:dyDescent="0.25">
      <c r="A11">
        <v>10</v>
      </c>
      <c r="B11">
        <v>64431</v>
      </c>
      <c r="C11">
        <v>0</v>
      </c>
      <c r="D11">
        <v>0</v>
      </c>
      <c r="E11" t="s">
        <v>905</v>
      </c>
      <c r="F11" t="s">
        <v>906</v>
      </c>
      <c r="G11">
        <v>1</v>
      </c>
      <c r="H11" s="154">
        <v>2041629</v>
      </c>
      <c r="I11" s="155">
        <v>45755</v>
      </c>
      <c r="J11" s="160" t="str">
        <f t="shared" si="0"/>
        <v>Abr</v>
      </c>
      <c r="K11" s="159">
        <f t="shared" si="1"/>
        <v>2025</v>
      </c>
      <c r="L11" s="155">
        <v>45755</v>
      </c>
      <c r="M11">
        <v>7</v>
      </c>
      <c r="N11" t="s">
        <v>808</v>
      </c>
      <c r="O11" t="s">
        <v>902</v>
      </c>
      <c r="P11" t="s">
        <v>810</v>
      </c>
      <c r="Q11" t="s">
        <v>860</v>
      </c>
      <c r="R11" t="s">
        <v>890</v>
      </c>
      <c r="S11">
        <v>7</v>
      </c>
      <c r="T11">
        <v>0</v>
      </c>
      <c r="U11">
        <v>0</v>
      </c>
      <c r="W11">
        <v>142914</v>
      </c>
      <c r="X11">
        <v>142914</v>
      </c>
      <c r="Y11">
        <v>0</v>
      </c>
      <c r="Z11">
        <v>0</v>
      </c>
      <c r="AA11" t="s">
        <v>891</v>
      </c>
    </row>
    <row r="12" spans="1:27" x14ac:dyDescent="0.25">
      <c r="A12">
        <v>11</v>
      </c>
      <c r="B12">
        <v>64353</v>
      </c>
      <c r="C12">
        <v>0</v>
      </c>
      <c r="D12">
        <v>0</v>
      </c>
      <c r="E12" t="s">
        <v>907</v>
      </c>
      <c r="F12" t="s">
        <v>908</v>
      </c>
      <c r="G12">
        <v>1</v>
      </c>
      <c r="H12" s="154">
        <v>1622151</v>
      </c>
      <c r="I12" s="155">
        <v>45741</v>
      </c>
      <c r="J12" s="160" t="str">
        <f t="shared" si="0"/>
        <v>Mar</v>
      </c>
      <c r="K12" s="159">
        <f t="shared" si="1"/>
        <v>2025</v>
      </c>
      <c r="L12" s="155">
        <v>45741</v>
      </c>
      <c r="M12">
        <v>14</v>
      </c>
      <c r="N12" t="s">
        <v>808</v>
      </c>
      <c r="O12" t="s">
        <v>896</v>
      </c>
      <c r="P12" t="s">
        <v>810</v>
      </c>
      <c r="Q12" t="s">
        <v>897</v>
      </c>
      <c r="R12" t="s">
        <v>890</v>
      </c>
      <c r="S12">
        <v>7</v>
      </c>
      <c r="T12">
        <v>7</v>
      </c>
      <c r="U12">
        <v>0</v>
      </c>
      <c r="W12">
        <v>227101</v>
      </c>
      <c r="X12">
        <v>113551</v>
      </c>
      <c r="Y12">
        <v>113551</v>
      </c>
      <c r="Z12">
        <v>0</v>
      </c>
      <c r="AA12" t="s">
        <v>891</v>
      </c>
    </row>
    <row r="13" spans="1:27" x14ac:dyDescent="0.25">
      <c r="A13">
        <v>12</v>
      </c>
      <c r="B13">
        <v>64354</v>
      </c>
      <c r="C13">
        <v>0</v>
      </c>
      <c r="D13">
        <v>0</v>
      </c>
      <c r="E13" t="s">
        <v>909</v>
      </c>
      <c r="F13" t="s">
        <v>910</v>
      </c>
      <c r="G13">
        <v>1</v>
      </c>
      <c r="H13" s="154">
        <v>11064017</v>
      </c>
      <c r="I13" s="155">
        <v>45741</v>
      </c>
      <c r="J13" s="160" t="str">
        <f t="shared" si="0"/>
        <v>Mar</v>
      </c>
      <c r="K13" s="159">
        <f t="shared" si="1"/>
        <v>2025</v>
      </c>
      <c r="L13" s="155">
        <v>45741</v>
      </c>
      <c r="M13">
        <v>14</v>
      </c>
      <c r="N13" t="s">
        <v>808</v>
      </c>
      <c r="O13" t="s">
        <v>896</v>
      </c>
      <c r="P13" t="s">
        <v>810</v>
      </c>
      <c r="Q13" t="s">
        <v>897</v>
      </c>
      <c r="R13" t="s">
        <v>890</v>
      </c>
      <c r="S13">
        <v>7</v>
      </c>
      <c r="T13">
        <v>7</v>
      </c>
      <c r="U13">
        <v>0</v>
      </c>
      <c r="W13">
        <v>1548962</v>
      </c>
      <c r="X13">
        <v>774481</v>
      </c>
      <c r="Y13">
        <v>774481</v>
      </c>
      <c r="Z13">
        <v>0</v>
      </c>
      <c r="AA13" t="s">
        <v>891</v>
      </c>
    </row>
    <row r="14" spans="1:27" x14ac:dyDescent="0.25">
      <c r="A14">
        <v>13</v>
      </c>
      <c r="B14">
        <v>64334</v>
      </c>
      <c r="C14">
        <v>0</v>
      </c>
      <c r="D14">
        <v>0</v>
      </c>
      <c r="E14" t="s">
        <v>911</v>
      </c>
      <c r="F14" t="s">
        <v>912</v>
      </c>
      <c r="G14">
        <v>1</v>
      </c>
      <c r="H14" s="154">
        <v>10472789</v>
      </c>
      <c r="I14" s="155">
        <v>45737</v>
      </c>
      <c r="J14" s="160" t="str">
        <f t="shared" si="0"/>
        <v>Mar</v>
      </c>
      <c r="K14" s="159">
        <f t="shared" si="1"/>
        <v>2025</v>
      </c>
      <c r="L14" s="155">
        <v>45737</v>
      </c>
      <c r="M14">
        <v>14</v>
      </c>
      <c r="N14" t="s">
        <v>808</v>
      </c>
      <c r="O14" t="s">
        <v>896</v>
      </c>
      <c r="P14" t="s">
        <v>810</v>
      </c>
      <c r="Q14" t="s">
        <v>897</v>
      </c>
      <c r="R14" t="s">
        <v>890</v>
      </c>
      <c r="S14">
        <v>7</v>
      </c>
      <c r="T14">
        <v>7</v>
      </c>
      <c r="U14">
        <v>0</v>
      </c>
      <c r="W14">
        <v>1466190</v>
      </c>
      <c r="X14">
        <v>733095</v>
      </c>
      <c r="Y14">
        <v>733095</v>
      </c>
      <c r="Z14">
        <v>0</v>
      </c>
      <c r="AA14" t="s">
        <v>891</v>
      </c>
    </row>
    <row r="15" spans="1:27" x14ac:dyDescent="0.25">
      <c r="A15">
        <v>14</v>
      </c>
      <c r="B15">
        <v>64201</v>
      </c>
      <c r="C15">
        <v>0</v>
      </c>
      <c r="D15">
        <v>0</v>
      </c>
      <c r="E15" t="s">
        <v>913</v>
      </c>
      <c r="F15" t="s">
        <v>914</v>
      </c>
      <c r="G15">
        <v>1</v>
      </c>
      <c r="H15" s="154">
        <v>57312526</v>
      </c>
      <c r="I15" s="155">
        <v>45728</v>
      </c>
      <c r="J15" s="160" t="str">
        <f t="shared" si="0"/>
        <v>Mar</v>
      </c>
      <c r="K15" s="159">
        <f t="shared" si="1"/>
        <v>2025</v>
      </c>
      <c r="L15" s="155">
        <v>45728</v>
      </c>
      <c r="M15">
        <v>14</v>
      </c>
      <c r="N15" t="s">
        <v>808</v>
      </c>
      <c r="O15" t="s">
        <v>896</v>
      </c>
      <c r="P15" t="s">
        <v>810</v>
      </c>
      <c r="Q15" t="s">
        <v>897</v>
      </c>
      <c r="R15" t="s">
        <v>890</v>
      </c>
      <c r="S15">
        <v>7</v>
      </c>
      <c r="T15">
        <v>7</v>
      </c>
      <c r="U15">
        <v>0</v>
      </c>
      <c r="W15">
        <v>8023754</v>
      </c>
      <c r="X15">
        <v>4011877</v>
      </c>
      <c r="Y15">
        <v>4011877</v>
      </c>
      <c r="Z15">
        <v>0</v>
      </c>
      <c r="AA15" t="s">
        <v>891</v>
      </c>
    </row>
    <row r="16" spans="1:27" x14ac:dyDescent="0.25">
      <c r="A16">
        <v>15</v>
      </c>
      <c r="B16">
        <v>64175</v>
      </c>
      <c r="C16">
        <v>0</v>
      </c>
      <c r="D16">
        <v>0</v>
      </c>
      <c r="E16" t="s">
        <v>900</v>
      </c>
      <c r="F16" t="s">
        <v>901</v>
      </c>
      <c r="G16">
        <v>1</v>
      </c>
      <c r="H16" s="154">
        <v>1611613</v>
      </c>
      <c r="I16" s="155">
        <v>45726</v>
      </c>
      <c r="J16" s="160" t="str">
        <f t="shared" si="0"/>
        <v>Mar</v>
      </c>
      <c r="K16" s="159">
        <f t="shared" si="1"/>
        <v>2025</v>
      </c>
      <c r="L16" s="155">
        <v>45726</v>
      </c>
      <c r="M16">
        <v>7</v>
      </c>
      <c r="N16" t="s">
        <v>808</v>
      </c>
      <c r="O16" t="s">
        <v>902</v>
      </c>
      <c r="P16" t="s">
        <v>810</v>
      </c>
      <c r="Q16" t="s">
        <v>860</v>
      </c>
      <c r="R16" t="s">
        <v>890</v>
      </c>
      <c r="S16">
        <v>7</v>
      </c>
      <c r="T16">
        <v>0</v>
      </c>
      <c r="U16">
        <v>0</v>
      </c>
      <c r="W16">
        <v>112813</v>
      </c>
      <c r="X16">
        <v>112813</v>
      </c>
      <c r="Y16">
        <v>0</v>
      </c>
      <c r="Z16">
        <v>0</v>
      </c>
      <c r="AA16" t="s">
        <v>891</v>
      </c>
    </row>
    <row r="17" spans="1:27" x14ac:dyDescent="0.25">
      <c r="A17">
        <v>16</v>
      </c>
      <c r="B17">
        <v>64176</v>
      </c>
      <c r="C17">
        <v>0</v>
      </c>
      <c r="D17">
        <v>0</v>
      </c>
      <c r="E17" t="s">
        <v>905</v>
      </c>
      <c r="F17" t="s">
        <v>906</v>
      </c>
      <c r="G17">
        <v>1</v>
      </c>
      <c r="H17" s="154">
        <v>2007599</v>
      </c>
      <c r="I17" s="155">
        <v>45726</v>
      </c>
      <c r="J17" s="160" t="str">
        <f t="shared" si="0"/>
        <v>Mar</v>
      </c>
      <c r="K17" s="159">
        <f t="shared" si="1"/>
        <v>2025</v>
      </c>
      <c r="L17" s="155">
        <v>45726</v>
      </c>
      <c r="M17">
        <v>7</v>
      </c>
      <c r="N17" t="s">
        <v>808</v>
      </c>
      <c r="O17" t="s">
        <v>902</v>
      </c>
      <c r="P17" t="s">
        <v>810</v>
      </c>
      <c r="Q17" t="s">
        <v>860</v>
      </c>
      <c r="R17" t="s">
        <v>890</v>
      </c>
      <c r="S17">
        <v>7</v>
      </c>
      <c r="T17">
        <v>0</v>
      </c>
      <c r="U17">
        <v>0</v>
      </c>
      <c r="W17">
        <v>140532</v>
      </c>
      <c r="X17">
        <v>140532</v>
      </c>
      <c r="Y17">
        <v>0</v>
      </c>
      <c r="Z17">
        <v>0</v>
      </c>
      <c r="AA17" t="s">
        <v>891</v>
      </c>
    </row>
    <row r="18" spans="1:27" x14ac:dyDescent="0.25">
      <c r="A18">
        <v>17</v>
      </c>
      <c r="B18">
        <v>64177</v>
      </c>
      <c r="C18">
        <v>0</v>
      </c>
      <c r="D18">
        <v>0</v>
      </c>
      <c r="E18" t="s">
        <v>903</v>
      </c>
      <c r="F18" t="s">
        <v>904</v>
      </c>
      <c r="G18">
        <v>1</v>
      </c>
      <c r="H18" s="154">
        <v>3074449</v>
      </c>
      <c r="I18" s="155">
        <v>45726</v>
      </c>
      <c r="J18" s="160" t="str">
        <f t="shared" si="0"/>
        <v>Mar</v>
      </c>
      <c r="K18" s="159">
        <f t="shared" si="1"/>
        <v>2025</v>
      </c>
      <c r="L18" s="155">
        <v>45726</v>
      </c>
      <c r="M18">
        <v>7</v>
      </c>
      <c r="N18" t="s">
        <v>808</v>
      </c>
      <c r="O18" t="s">
        <v>902</v>
      </c>
      <c r="P18" t="s">
        <v>810</v>
      </c>
      <c r="Q18" t="s">
        <v>860</v>
      </c>
      <c r="R18" t="s">
        <v>890</v>
      </c>
      <c r="S18">
        <v>7</v>
      </c>
      <c r="T18">
        <v>0</v>
      </c>
      <c r="U18">
        <v>0</v>
      </c>
      <c r="W18">
        <v>215211</v>
      </c>
      <c r="X18">
        <v>215211</v>
      </c>
      <c r="Y18">
        <v>0</v>
      </c>
      <c r="Z18">
        <v>0</v>
      </c>
      <c r="AA18" t="s">
        <v>891</v>
      </c>
    </row>
    <row r="19" spans="1:27" x14ac:dyDescent="0.25">
      <c r="A19">
        <v>18</v>
      </c>
      <c r="B19">
        <v>64066</v>
      </c>
      <c r="C19">
        <v>0</v>
      </c>
      <c r="D19">
        <v>0</v>
      </c>
      <c r="E19" t="s">
        <v>915</v>
      </c>
      <c r="F19" t="s">
        <v>916</v>
      </c>
      <c r="G19">
        <v>1</v>
      </c>
      <c r="H19" s="154">
        <v>7000000</v>
      </c>
      <c r="I19" s="155">
        <v>45706</v>
      </c>
      <c r="J19" s="160" t="str">
        <f t="shared" si="0"/>
        <v>Feb</v>
      </c>
      <c r="K19" s="159">
        <f t="shared" si="1"/>
        <v>2025</v>
      </c>
      <c r="L19" s="155">
        <v>45706</v>
      </c>
      <c r="M19">
        <v>5</v>
      </c>
      <c r="N19" t="s">
        <v>808</v>
      </c>
      <c r="O19" t="s">
        <v>809</v>
      </c>
      <c r="P19" t="s">
        <v>810</v>
      </c>
      <c r="Q19" t="s">
        <v>833</v>
      </c>
      <c r="R19" t="s">
        <v>890</v>
      </c>
      <c r="S19">
        <v>5</v>
      </c>
      <c r="T19">
        <v>0</v>
      </c>
      <c r="U19">
        <v>0</v>
      </c>
      <c r="W19">
        <v>350000</v>
      </c>
      <c r="X19">
        <v>350000</v>
      </c>
      <c r="Y19">
        <v>0</v>
      </c>
      <c r="Z19">
        <v>0</v>
      </c>
      <c r="AA19" t="s">
        <v>891</v>
      </c>
    </row>
    <row r="20" spans="1:27" x14ac:dyDescent="0.25">
      <c r="A20">
        <v>19</v>
      </c>
      <c r="B20">
        <v>63730</v>
      </c>
      <c r="C20">
        <v>0</v>
      </c>
      <c r="D20">
        <v>0</v>
      </c>
      <c r="E20" t="s">
        <v>903</v>
      </c>
      <c r="F20" t="s">
        <v>904</v>
      </c>
      <c r="G20">
        <v>1</v>
      </c>
      <c r="H20" s="154">
        <v>3112140</v>
      </c>
      <c r="I20" s="155">
        <v>45698</v>
      </c>
      <c r="J20" s="160" t="str">
        <f t="shared" si="0"/>
        <v>Feb</v>
      </c>
      <c r="K20" s="159">
        <f t="shared" si="1"/>
        <v>2025</v>
      </c>
      <c r="L20" s="155">
        <v>45698</v>
      </c>
      <c r="M20">
        <v>7</v>
      </c>
      <c r="N20" t="s">
        <v>808</v>
      </c>
      <c r="O20" t="s">
        <v>902</v>
      </c>
      <c r="P20" t="s">
        <v>810</v>
      </c>
      <c r="Q20" t="s">
        <v>860</v>
      </c>
      <c r="R20" t="s">
        <v>890</v>
      </c>
      <c r="S20">
        <v>7</v>
      </c>
      <c r="T20">
        <v>0</v>
      </c>
      <c r="U20">
        <v>0</v>
      </c>
      <c r="W20">
        <v>217850</v>
      </c>
      <c r="X20">
        <v>217850</v>
      </c>
      <c r="Y20">
        <v>0</v>
      </c>
      <c r="Z20">
        <v>0</v>
      </c>
      <c r="AA20" t="s">
        <v>891</v>
      </c>
    </row>
    <row r="21" spans="1:27" x14ac:dyDescent="0.25">
      <c r="A21">
        <v>20</v>
      </c>
      <c r="B21">
        <v>63728</v>
      </c>
      <c r="C21">
        <v>0</v>
      </c>
      <c r="D21">
        <v>0</v>
      </c>
      <c r="E21" t="s">
        <v>905</v>
      </c>
      <c r="F21" t="s">
        <v>906</v>
      </c>
      <c r="G21">
        <v>1</v>
      </c>
      <c r="H21" s="154">
        <v>2105949</v>
      </c>
      <c r="I21" s="155">
        <v>45695</v>
      </c>
      <c r="J21" s="160" t="str">
        <f t="shared" si="0"/>
        <v>Feb</v>
      </c>
      <c r="K21" s="159">
        <f t="shared" si="1"/>
        <v>2025</v>
      </c>
      <c r="L21" s="155">
        <v>45695</v>
      </c>
      <c r="M21">
        <v>7</v>
      </c>
      <c r="N21" t="s">
        <v>808</v>
      </c>
      <c r="O21" t="s">
        <v>902</v>
      </c>
      <c r="P21" t="s">
        <v>810</v>
      </c>
      <c r="Q21" t="s">
        <v>860</v>
      </c>
      <c r="R21" t="s">
        <v>890</v>
      </c>
      <c r="S21">
        <v>7</v>
      </c>
      <c r="T21">
        <v>0</v>
      </c>
      <c r="U21">
        <v>0</v>
      </c>
      <c r="W21">
        <v>147416</v>
      </c>
      <c r="X21">
        <v>147416</v>
      </c>
      <c r="Y21">
        <v>0</v>
      </c>
      <c r="Z21">
        <v>0</v>
      </c>
      <c r="AA21" t="s">
        <v>891</v>
      </c>
    </row>
    <row r="22" spans="1:27" x14ac:dyDescent="0.25">
      <c r="A22">
        <v>21</v>
      </c>
      <c r="B22">
        <v>63729</v>
      </c>
      <c r="C22">
        <v>0</v>
      </c>
      <c r="D22">
        <v>0</v>
      </c>
      <c r="E22" t="s">
        <v>900</v>
      </c>
      <c r="F22" t="s">
        <v>901</v>
      </c>
      <c r="G22">
        <v>1</v>
      </c>
      <c r="H22" s="154">
        <v>1614021</v>
      </c>
      <c r="I22" s="155">
        <v>45695</v>
      </c>
      <c r="J22" s="160" t="str">
        <f t="shared" si="0"/>
        <v>Feb</v>
      </c>
      <c r="K22" s="159">
        <f t="shared" si="1"/>
        <v>2025</v>
      </c>
      <c r="L22" s="155">
        <v>45695</v>
      </c>
      <c r="M22">
        <v>7</v>
      </c>
      <c r="N22" t="s">
        <v>808</v>
      </c>
      <c r="O22" t="s">
        <v>902</v>
      </c>
      <c r="P22" t="s">
        <v>810</v>
      </c>
      <c r="Q22" t="s">
        <v>860</v>
      </c>
      <c r="R22" t="s">
        <v>890</v>
      </c>
      <c r="S22">
        <v>7</v>
      </c>
      <c r="T22">
        <v>0</v>
      </c>
      <c r="U22">
        <v>0</v>
      </c>
      <c r="W22">
        <v>112981</v>
      </c>
      <c r="X22">
        <v>112981</v>
      </c>
      <c r="Y22">
        <v>0</v>
      </c>
      <c r="Z22">
        <v>0</v>
      </c>
      <c r="AA22" t="s">
        <v>891</v>
      </c>
    </row>
    <row r="23" spans="1:27" x14ac:dyDescent="0.25">
      <c r="A23">
        <v>22</v>
      </c>
      <c r="B23">
        <v>63586</v>
      </c>
      <c r="C23">
        <v>0</v>
      </c>
      <c r="D23">
        <v>0</v>
      </c>
      <c r="E23" t="s">
        <v>917</v>
      </c>
      <c r="F23" t="s">
        <v>918</v>
      </c>
      <c r="G23">
        <v>1</v>
      </c>
      <c r="H23" s="154">
        <v>2976471</v>
      </c>
      <c r="I23" s="155">
        <v>45677</v>
      </c>
      <c r="J23" s="160" t="str">
        <f t="shared" si="0"/>
        <v>Ene</v>
      </c>
      <c r="K23" s="159">
        <f t="shared" si="1"/>
        <v>2025</v>
      </c>
      <c r="L23" s="155">
        <v>45677</v>
      </c>
      <c r="M23">
        <v>15</v>
      </c>
      <c r="N23" t="s">
        <v>808</v>
      </c>
      <c r="O23" t="s">
        <v>809</v>
      </c>
      <c r="P23" t="s">
        <v>810</v>
      </c>
      <c r="Q23" t="s">
        <v>811</v>
      </c>
      <c r="R23" t="s">
        <v>890</v>
      </c>
      <c r="S23">
        <v>15</v>
      </c>
      <c r="T23">
        <v>0</v>
      </c>
      <c r="U23">
        <v>0</v>
      </c>
      <c r="W23">
        <v>446471</v>
      </c>
      <c r="X23">
        <v>446471</v>
      </c>
      <c r="Y23">
        <v>0</v>
      </c>
      <c r="Z23">
        <v>0</v>
      </c>
      <c r="AA23" t="s">
        <v>891</v>
      </c>
    </row>
    <row r="24" spans="1:27" x14ac:dyDescent="0.25">
      <c r="A24">
        <v>23</v>
      </c>
      <c r="B24">
        <v>62572</v>
      </c>
      <c r="C24">
        <v>0</v>
      </c>
      <c r="D24">
        <v>0</v>
      </c>
      <c r="E24" t="s">
        <v>919</v>
      </c>
      <c r="F24" t="s">
        <v>920</v>
      </c>
      <c r="G24">
        <v>1</v>
      </c>
      <c r="I24" s="155">
        <v>45659</v>
      </c>
      <c r="J24" s="160" t="str">
        <f t="shared" si="0"/>
        <v>Ene</v>
      </c>
      <c r="K24" s="159">
        <f t="shared" si="1"/>
        <v>2025</v>
      </c>
      <c r="L24" s="155">
        <v>45659</v>
      </c>
      <c r="M24">
        <v>15</v>
      </c>
      <c r="N24" t="s">
        <v>808</v>
      </c>
      <c r="O24" t="s">
        <v>859</v>
      </c>
      <c r="P24" t="s">
        <v>810</v>
      </c>
      <c r="Q24" t="s">
        <v>860</v>
      </c>
      <c r="R24" t="s">
        <v>890</v>
      </c>
      <c r="S24">
        <v>15</v>
      </c>
      <c r="T24">
        <v>0</v>
      </c>
      <c r="U24">
        <v>0</v>
      </c>
      <c r="W24">
        <v>0</v>
      </c>
      <c r="X24">
        <v>0</v>
      </c>
      <c r="Y24">
        <v>0</v>
      </c>
      <c r="Z24">
        <v>0</v>
      </c>
      <c r="AA24" t="s">
        <v>891</v>
      </c>
    </row>
    <row r="25" spans="1:27" hidden="1" x14ac:dyDescent="0.25">
      <c r="A25">
        <v>1</v>
      </c>
      <c r="B25">
        <v>70123</v>
      </c>
      <c r="C25">
        <v>0</v>
      </c>
      <c r="D25">
        <v>0</v>
      </c>
      <c r="E25" t="s">
        <v>806</v>
      </c>
      <c r="F25" t="s">
        <v>807</v>
      </c>
      <c r="G25">
        <v>1</v>
      </c>
      <c r="H25" s="154">
        <v>1431108</v>
      </c>
      <c r="I25" s="155">
        <v>46139</v>
      </c>
      <c r="J25" s="160" t="str">
        <f t="shared" si="0"/>
        <v>Abr</v>
      </c>
      <c r="K25" s="159">
        <f t="shared" si="1"/>
        <v>2026</v>
      </c>
      <c r="M25">
        <v>6</v>
      </c>
      <c r="N25" t="s">
        <v>808</v>
      </c>
      <c r="O25" t="s">
        <v>809</v>
      </c>
      <c r="P25" t="s">
        <v>810</v>
      </c>
      <c r="Q25" t="s">
        <v>811</v>
      </c>
      <c r="R25" t="s">
        <v>812</v>
      </c>
      <c r="S25">
        <v>6</v>
      </c>
      <c r="T25">
        <v>0</v>
      </c>
      <c r="U25">
        <v>0</v>
      </c>
      <c r="W25">
        <v>85866</v>
      </c>
      <c r="X25">
        <v>85866</v>
      </c>
      <c r="Y25">
        <v>0</v>
      </c>
      <c r="Z25">
        <v>0</v>
      </c>
      <c r="AA25" t="s">
        <v>813</v>
      </c>
    </row>
    <row r="26" spans="1:27" hidden="1" x14ac:dyDescent="0.25">
      <c r="A26">
        <v>2</v>
      </c>
      <c r="B26">
        <v>70124</v>
      </c>
      <c r="C26">
        <v>0</v>
      </c>
      <c r="D26">
        <v>0</v>
      </c>
      <c r="E26" t="s">
        <v>814</v>
      </c>
      <c r="F26" t="s">
        <v>815</v>
      </c>
      <c r="G26">
        <v>1</v>
      </c>
      <c r="H26" s="154">
        <v>6757826</v>
      </c>
      <c r="I26" s="155">
        <v>46139</v>
      </c>
      <c r="J26" s="160" t="str">
        <f t="shared" si="0"/>
        <v>Abr</v>
      </c>
      <c r="K26" s="159">
        <f t="shared" si="1"/>
        <v>2026</v>
      </c>
      <c r="M26">
        <v>6</v>
      </c>
      <c r="N26" t="s">
        <v>808</v>
      </c>
      <c r="O26" t="s">
        <v>809</v>
      </c>
      <c r="P26" t="s">
        <v>810</v>
      </c>
      <c r="Q26" t="s">
        <v>811</v>
      </c>
      <c r="R26" t="s">
        <v>812</v>
      </c>
      <c r="S26">
        <v>6</v>
      </c>
      <c r="T26">
        <v>0</v>
      </c>
      <c r="U26">
        <v>0</v>
      </c>
      <c r="W26">
        <v>405470</v>
      </c>
      <c r="X26">
        <v>405470</v>
      </c>
      <c r="Y26">
        <v>0</v>
      </c>
      <c r="Z26">
        <v>0</v>
      </c>
      <c r="AA26" t="s">
        <v>813</v>
      </c>
    </row>
    <row r="27" spans="1:27" hidden="1" x14ac:dyDescent="0.25">
      <c r="A27">
        <v>3</v>
      </c>
      <c r="B27">
        <v>70125</v>
      </c>
      <c r="C27">
        <v>0</v>
      </c>
      <c r="D27">
        <v>0</v>
      </c>
      <c r="E27" t="s">
        <v>816</v>
      </c>
      <c r="F27" t="s">
        <v>817</v>
      </c>
      <c r="G27">
        <v>1</v>
      </c>
      <c r="H27" s="154">
        <v>20227954</v>
      </c>
      <c r="I27" s="155">
        <v>46139</v>
      </c>
      <c r="J27" s="160" t="str">
        <f t="shared" si="0"/>
        <v>Abr</v>
      </c>
      <c r="K27" s="159">
        <f t="shared" si="1"/>
        <v>2026</v>
      </c>
      <c r="M27">
        <v>6</v>
      </c>
      <c r="N27" t="s">
        <v>808</v>
      </c>
      <c r="O27" t="s">
        <v>809</v>
      </c>
      <c r="P27" t="s">
        <v>810</v>
      </c>
      <c r="Q27" t="s">
        <v>811</v>
      </c>
      <c r="R27" t="s">
        <v>812</v>
      </c>
      <c r="S27">
        <v>6</v>
      </c>
      <c r="T27">
        <v>0</v>
      </c>
      <c r="U27">
        <v>0</v>
      </c>
      <c r="W27">
        <v>1213677</v>
      </c>
      <c r="X27">
        <v>1213677</v>
      </c>
      <c r="Y27">
        <v>0</v>
      </c>
      <c r="Z27">
        <v>0</v>
      </c>
      <c r="AA27" t="s">
        <v>813</v>
      </c>
    </row>
    <row r="28" spans="1:27" hidden="1" x14ac:dyDescent="0.25">
      <c r="A28">
        <v>4</v>
      </c>
      <c r="B28">
        <v>70126</v>
      </c>
      <c r="C28">
        <v>0</v>
      </c>
      <c r="D28">
        <v>0</v>
      </c>
      <c r="E28" t="s">
        <v>818</v>
      </c>
      <c r="F28" t="s">
        <v>819</v>
      </c>
      <c r="G28">
        <v>1</v>
      </c>
      <c r="H28" s="154">
        <v>1190280</v>
      </c>
      <c r="I28" s="155">
        <v>46139</v>
      </c>
      <c r="J28" s="160" t="str">
        <f t="shared" si="0"/>
        <v>Abr</v>
      </c>
      <c r="K28" s="159">
        <f t="shared" si="1"/>
        <v>2026</v>
      </c>
      <c r="M28">
        <v>6</v>
      </c>
      <c r="N28" t="s">
        <v>808</v>
      </c>
      <c r="O28" t="s">
        <v>809</v>
      </c>
      <c r="P28" t="s">
        <v>810</v>
      </c>
      <c r="Q28" t="s">
        <v>811</v>
      </c>
      <c r="R28" t="s">
        <v>812</v>
      </c>
      <c r="S28">
        <v>6</v>
      </c>
      <c r="T28">
        <v>0</v>
      </c>
      <c r="U28">
        <v>0</v>
      </c>
      <c r="W28">
        <v>71417</v>
      </c>
      <c r="X28">
        <v>71417</v>
      </c>
      <c r="Y28">
        <v>0</v>
      </c>
      <c r="Z28">
        <v>0</v>
      </c>
      <c r="AA28" t="s">
        <v>813</v>
      </c>
    </row>
    <row r="29" spans="1:27" hidden="1" x14ac:dyDescent="0.25">
      <c r="A29">
        <v>5</v>
      </c>
      <c r="B29">
        <v>70127</v>
      </c>
      <c r="C29">
        <v>0</v>
      </c>
      <c r="D29">
        <v>0</v>
      </c>
      <c r="E29" t="s">
        <v>820</v>
      </c>
      <c r="F29" t="s">
        <v>821</v>
      </c>
      <c r="G29">
        <v>1</v>
      </c>
      <c r="H29" s="154">
        <v>13611900</v>
      </c>
      <c r="I29" s="155">
        <v>46139</v>
      </c>
      <c r="J29" s="160" t="str">
        <f t="shared" si="0"/>
        <v>Abr</v>
      </c>
      <c r="K29" s="159">
        <f t="shared" si="1"/>
        <v>2026</v>
      </c>
      <c r="M29">
        <v>6</v>
      </c>
      <c r="N29" t="s">
        <v>808</v>
      </c>
      <c r="O29" t="s">
        <v>809</v>
      </c>
      <c r="P29" t="s">
        <v>810</v>
      </c>
      <c r="Q29" t="s">
        <v>811</v>
      </c>
      <c r="R29" t="s">
        <v>812</v>
      </c>
      <c r="S29">
        <v>6</v>
      </c>
      <c r="T29">
        <v>0</v>
      </c>
      <c r="U29">
        <v>0</v>
      </c>
      <c r="W29">
        <v>816714</v>
      </c>
      <c r="X29">
        <v>816714</v>
      </c>
      <c r="Y29">
        <v>0</v>
      </c>
      <c r="Z29">
        <v>0</v>
      </c>
      <c r="AA29" t="s">
        <v>813</v>
      </c>
    </row>
    <row r="30" spans="1:27" hidden="1" x14ac:dyDescent="0.25">
      <c r="A30">
        <v>6</v>
      </c>
      <c r="B30">
        <v>70128</v>
      </c>
      <c r="C30">
        <v>0</v>
      </c>
      <c r="D30">
        <v>0</v>
      </c>
      <c r="E30" t="s">
        <v>822</v>
      </c>
      <c r="F30" t="s">
        <v>823</v>
      </c>
      <c r="G30">
        <v>1</v>
      </c>
      <c r="H30" s="154">
        <v>2387964</v>
      </c>
      <c r="I30" s="155">
        <v>46139</v>
      </c>
      <c r="J30" s="160" t="str">
        <f t="shared" si="0"/>
        <v>Abr</v>
      </c>
      <c r="K30" s="159">
        <f t="shared" si="1"/>
        <v>2026</v>
      </c>
      <c r="M30">
        <v>6</v>
      </c>
      <c r="N30" t="s">
        <v>808</v>
      </c>
      <c r="O30" t="s">
        <v>809</v>
      </c>
      <c r="P30" t="s">
        <v>810</v>
      </c>
      <c r="Q30" t="s">
        <v>811</v>
      </c>
      <c r="R30" t="s">
        <v>812</v>
      </c>
      <c r="S30">
        <v>6</v>
      </c>
      <c r="T30">
        <v>0</v>
      </c>
      <c r="U30">
        <v>0</v>
      </c>
      <c r="W30">
        <v>143278</v>
      </c>
      <c r="X30">
        <v>143278</v>
      </c>
      <c r="Y30">
        <v>0</v>
      </c>
      <c r="Z30">
        <v>0</v>
      </c>
      <c r="AA30" t="s">
        <v>813</v>
      </c>
    </row>
    <row r="31" spans="1:27" hidden="1" x14ac:dyDescent="0.25">
      <c r="A31">
        <v>7</v>
      </c>
      <c r="B31">
        <v>70153</v>
      </c>
      <c r="C31">
        <v>0</v>
      </c>
      <c r="D31">
        <v>0</v>
      </c>
      <c r="E31" t="s">
        <v>824</v>
      </c>
      <c r="F31" t="s">
        <v>825</v>
      </c>
      <c r="G31">
        <v>1</v>
      </c>
      <c r="H31" s="154">
        <v>4550000</v>
      </c>
      <c r="I31" s="155">
        <v>46136</v>
      </c>
      <c r="J31" s="160" t="str">
        <f t="shared" si="0"/>
        <v>Abr</v>
      </c>
      <c r="K31" s="159">
        <f t="shared" si="1"/>
        <v>2026</v>
      </c>
      <c r="M31">
        <v>8</v>
      </c>
      <c r="N31" t="s">
        <v>808</v>
      </c>
      <c r="O31" t="s">
        <v>809</v>
      </c>
      <c r="P31" t="s">
        <v>810</v>
      </c>
      <c r="Q31" t="s">
        <v>826</v>
      </c>
      <c r="R31" t="s">
        <v>812</v>
      </c>
      <c r="S31">
        <v>8</v>
      </c>
      <c r="T31">
        <v>0</v>
      </c>
      <c r="U31">
        <v>0</v>
      </c>
      <c r="W31">
        <v>364000</v>
      </c>
      <c r="X31">
        <v>364000</v>
      </c>
      <c r="Y31">
        <v>0</v>
      </c>
      <c r="Z31">
        <v>0</v>
      </c>
      <c r="AA31" t="s">
        <v>813</v>
      </c>
    </row>
    <row r="32" spans="1:27" hidden="1" x14ac:dyDescent="0.25">
      <c r="A32">
        <v>8</v>
      </c>
      <c r="B32">
        <v>70139</v>
      </c>
      <c r="C32">
        <v>0</v>
      </c>
      <c r="D32">
        <v>0</v>
      </c>
      <c r="E32" t="s">
        <v>827</v>
      </c>
      <c r="F32" t="s">
        <v>828</v>
      </c>
      <c r="G32">
        <v>1</v>
      </c>
      <c r="H32" s="154">
        <v>272000</v>
      </c>
      <c r="I32" s="155">
        <v>46134</v>
      </c>
      <c r="J32" s="160" t="str">
        <f t="shared" si="0"/>
        <v>Abr</v>
      </c>
      <c r="K32" s="159">
        <f t="shared" si="1"/>
        <v>2026</v>
      </c>
      <c r="M32">
        <v>8</v>
      </c>
      <c r="N32" t="s">
        <v>808</v>
      </c>
      <c r="O32" t="s">
        <v>829</v>
      </c>
      <c r="P32" t="s">
        <v>810</v>
      </c>
      <c r="Q32" t="s">
        <v>830</v>
      </c>
      <c r="R32" t="s">
        <v>812</v>
      </c>
      <c r="S32">
        <v>8</v>
      </c>
      <c r="T32">
        <v>0</v>
      </c>
      <c r="U32">
        <v>0</v>
      </c>
      <c r="W32">
        <v>21760</v>
      </c>
      <c r="X32">
        <v>21760</v>
      </c>
      <c r="Y32">
        <v>0</v>
      </c>
      <c r="Z32">
        <v>0</v>
      </c>
      <c r="AA32" t="s">
        <v>813</v>
      </c>
    </row>
    <row r="33" spans="1:27" hidden="1" x14ac:dyDescent="0.25">
      <c r="A33">
        <v>9</v>
      </c>
      <c r="B33">
        <v>70067</v>
      </c>
      <c r="C33">
        <v>0</v>
      </c>
      <c r="D33">
        <v>0</v>
      </c>
      <c r="E33" t="s">
        <v>831</v>
      </c>
      <c r="F33" t="s">
        <v>832</v>
      </c>
      <c r="G33">
        <v>1</v>
      </c>
      <c r="H33" s="154">
        <v>5700000</v>
      </c>
      <c r="I33" s="155">
        <v>46128</v>
      </c>
      <c r="J33" s="160" t="str">
        <f t="shared" si="0"/>
        <v>Abr</v>
      </c>
      <c r="K33" s="159">
        <f t="shared" si="1"/>
        <v>2026</v>
      </c>
      <c r="M33">
        <v>4</v>
      </c>
      <c r="N33" t="s">
        <v>808</v>
      </c>
      <c r="O33" t="s">
        <v>809</v>
      </c>
      <c r="P33" t="s">
        <v>810</v>
      </c>
      <c r="Q33" t="s">
        <v>833</v>
      </c>
      <c r="R33" t="s">
        <v>812</v>
      </c>
      <c r="S33">
        <v>4</v>
      </c>
      <c r="T33">
        <v>0</v>
      </c>
      <c r="U33">
        <v>0</v>
      </c>
      <c r="W33">
        <v>228000</v>
      </c>
      <c r="X33">
        <v>228000</v>
      </c>
      <c r="Y33">
        <v>0</v>
      </c>
      <c r="Z33">
        <v>0</v>
      </c>
      <c r="AA33" t="s">
        <v>813</v>
      </c>
    </row>
    <row r="34" spans="1:27" hidden="1" x14ac:dyDescent="0.25">
      <c r="A34">
        <v>10</v>
      </c>
      <c r="B34">
        <v>70041</v>
      </c>
      <c r="C34">
        <v>0</v>
      </c>
      <c r="D34">
        <v>0</v>
      </c>
      <c r="E34" t="s">
        <v>834</v>
      </c>
      <c r="F34" t="s">
        <v>835</v>
      </c>
      <c r="G34">
        <v>1</v>
      </c>
      <c r="H34" s="154">
        <v>1250000</v>
      </c>
      <c r="I34" s="155">
        <v>46126</v>
      </c>
      <c r="J34" s="160" t="str">
        <f t="shared" si="0"/>
        <v>Abr</v>
      </c>
      <c r="K34" s="159">
        <f t="shared" si="1"/>
        <v>2026</v>
      </c>
      <c r="M34">
        <v>15</v>
      </c>
      <c r="N34" t="s">
        <v>808</v>
      </c>
      <c r="O34" t="s">
        <v>809</v>
      </c>
      <c r="P34" t="s">
        <v>810</v>
      </c>
      <c r="Q34" t="s">
        <v>833</v>
      </c>
      <c r="R34" t="s">
        <v>812</v>
      </c>
      <c r="S34">
        <v>15</v>
      </c>
      <c r="T34">
        <v>0</v>
      </c>
      <c r="U34">
        <v>0</v>
      </c>
      <c r="W34">
        <v>187500</v>
      </c>
      <c r="X34">
        <v>187500</v>
      </c>
      <c r="Y34">
        <v>0</v>
      </c>
      <c r="Z34">
        <v>0</v>
      </c>
      <c r="AA34" t="s">
        <v>813</v>
      </c>
    </row>
    <row r="35" spans="1:27" hidden="1" x14ac:dyDescent="0.25">
      <c r="A35">
        <v>11</v>
      </c>
      <c r="B35">
        <v>70004</v>
      </c>
      <c r="C35">
        <v>0</v>
      </c>
      <c r="D35">
        <v>0</v>
      </c>
      <c r="E35" t="s">
        <v>836</v>
      </c>
      <c r="F35" t="s">
        <v>837</v>
      </c>
      <c r="G35">
        <v>1</v>
      </c>
      <c r="H35" s="154">
        <v>7000000</v>
      </c>
      <c r="I35" s="155">
        <v>46121</v>
      </c>
      <c r="J35" s="160" t="str">
        <f t="shared" si="0"/>
        <v>Abr</v>
      </c>
      <c r="K35" s="159">
        <f t="shared" si="1"/>
        <v>2026</v>
      </c>
      <c r="M35">
        <v>15</v>
      </c>
      <c r="N35" t="s">
        <v>808</v>
      </c>
      <c r="O35" t="s">
        <v>838</v>
      </c>
      <c r="P35" t="s">
        <v>810</v>
      </c>
      <c r="Q35" t="s">
        <v>839</v>
      </c>
      <c r="R35" t="s">
        <v>812</v>
      </c>
      <c r="S35">
        <v>7</v>
      </c>
      <c r="T35">
        <v>8</v>
      </c>
      <c r="U35">
        <v>0</v>
      </c>
      <c r="W35">
        <v>1050000</v>
      </c>
      <c r="X35">
        <v>490000</v>
      </c>
      <c r="Y35">
        <v>560000</v>
      </c>
      <c r="Z35">
        <v>0</v>
      </c>
      <c r="AA35" t="s">
        <v>813</v>
      </c>
    </row>
    <row r="36" spans="1:27" hidden="1" x14ac:dyDescent="0.25">
      <c r="A36">
        <v>12</v>
      </c>
      <c r="B36">
        <v>70005</v>
      </c>
      <c r="C36">
        <v>0</v>
      </c>
      <c r="D36">
        <v>0</v>
      </c>
      <c r="E36" t="s">
        <v>836</v>
      </c>
      <c r="F36" t="s">
        <v>837</v>
      </c>
      <c r="G36">
        <v>1</v>
      </c>
      <c r="H36" s="154">
        <v>7000000</v>
      </c>
      <c r="I36" s="155">
        <v>46121</v>
      </c>
      <c r="J36" s="160" t="str">
        <f t="shared" si="0"/>
        <v>Abr</v>
      </c>
      <c r="K36" s="159">
        <f t="shared" si="1"/>
        <v>2026</v>
      </c>
      <c r="M36">
        <v>15</v>
      </c>
      <c r="N36" t="s">
        <v>808</v>
      </c>
      <c r="O36" t="s">
        <v>838</v>
      </c>
      <c r="P36" t="s">
        <v>810</v>
      </c>
      <c r="Q36" t="s">
        <v>839</v>
      </c>
      <c r="R36" t="s">
        <v>812</v>
      </c>
      <c r="S36">
        <v>7</v>
      </c>
      <c r="T36">
        <v>8</v>
      </c>
      <c r="U36">
        <v>0</v>
      </c>
      <c r="W36">
        <v>1050000</v>
      </c>
      <c r="X36">
        <v>490000</v>
      </c>
      <c r="Y36">
        <v>560000</v>
      </c>
      <c r="Z36">
        <v>0</v>
      </c>
      <c r="AA36" t="s">
        <v>813</v>
      </c>
    </row>
    <row r="37" spans="1:27" hidden="1" x14ac:dyDescent="0.25">
      <c r="A37">
        <v>13</v>
      </c>
      <c r="B37">
        <v>70006</v>
      </c>
      <c r="C37">
        <v>0</v>
      </c>
      <c r="D37">
        <v>0</v>
      </c>
      <c r="E37" t="s">
        <v>836</v>
      </c>
      <c r="F37" t="s">
        <v>837</v>
      </c>
      <c r="G37">
        <v>1</v>
      </c>
      <c r="H37" s="154">
        <v>6500000</v>
      </c>
      <c r="I37" s="155">
        <v>46121</v>
      </c>
      <c r="J37" s="160" t="str">
        <f t="shared" si="0"/>
        <v>Abr</v>
      </c>
      <c r="K37" s="159">
        <f t="shared" si="1"/>
        <v>2026</v>
      </c>
      <c r="M37">
        <v>15</v>
      </c>
      <c r="N37" t="s">
        <v>808</v>
      </c>
      <c r="O37" t="s">
        <v>838</v>
      </c>
      <c r="P37" t="s">
        <v>810</v>
      </c>
      <c r="Q37" t="s">
        <v>839</v>
      </c>
      <c r="R37" t="s">
        <v>812</v>
      </c>
      <c r="S37">
        <v>7</v>
      </c>
      <c r="T37">
        <v>8</v>
      </c>
      <c r="U37">
        <v>0</v>
      </c>
      <c r="W37">
        <v>975000</v>
      </c>
      <c r="X37">
        <v>455000</v>
      </c>
      <c r="Y37">
        <v>520000</v>
      </c>
      <c r="Z37">
        <v>0</v>
      </c>
      <c r="AA37" t="s">
        <v>813</v>
      </c>
    </row>
    <row r="38" spans="1:27" hidden="1" x14ac:dyDescent="0.25">
      <c r="A38">
        <v>14</v>
      </c>
      <c r="B38">
        <v>69991</v>
      </c>
      <c r="C38">
        <v>0</v>
      </c>
      <c r="D38">
        <v>0</v>
      </c>
      <c r="E38" t="s">
        <v>840</v>
      </c>
      <c r="F38" t="s">
        <v>708</v>
      </c>
      <c r="G38">
        <v>1</v>
      </c>
      <c r="H38" s="154">
        <v>4000000</v>
      </c>
      <c r="I38" s="155">
        <v>46120</v>
      </c>
      <c r="J38" s="160" t="str">
        <f t="shared" si="0"/>
        <v>Abr</v>
      </c>
      <c r="K38" s="159">
        <f t="shared" si="1"/>
        <v>2026</v>
      </c>
      <c r="M38">
        <v>15</v>
      </c>
      <c r="N38" t="s">
        <v>808</v>
      </c>
      <c r="O38" t="s">
        <v>838</v>
      </c>
      <c r="P38" t="s">
        <v>810</v>
      </c>
      <c r="Q38" t="s">
        <v>839</v>
      </c>
      <c r="R38" t="s">
        <v>812</v>
      </c>
      <c r="S38">
        <v>5</v>
      </c>
      <c r="T38">
        <v>10</v>
      </c>
      <c r="U38">
        <v>0</v>
      </c>
      <c r="W38">
        <v>600000</v>
      </c>
      <c r="X38">
        <v>200000</v>
      </c>
      <c r="Y38">
        <v>400000</v>
      </c>
      <c r="Z38">
        <v>0</v>
      </c>
      <c r="AA38" t="s">
        <v>813</v>
      </c>
    </row>
    <row r="39" spans="1:27" hidden="1" x14ac:dyDescent="0.25">
      <c r="A39">
        <v>15</v>
      </c>
      <c r="B39">
        <v>69985</v>
      </c>
      <c r="C39">
        <v>0</v>
      </c>
      <c r="D39">
        <v>0</v>
      </c>
      <c r="E39" t="s">
        <v>841</v>
      </c>
      <c r="F39" t="s">
        <v>842</v>
      </c>
      <c r="G39">
        <v>1</v>
      </c>
      <c r="H39" s="154">
        <v>53000000</v>
      </c>
      <c r="I39" s="155">
        <v>46120</v>
      </c>
      <c r="J39" s="160" t="str">
        <f t="shared" si="0"/>
        <v>Abr</v>
      </c>
      <c r="K39" s="159">
        <f t="shared" si="1"/>
        <v>2026</v>
      </c>
      <c r="M39">
        <v>15</v>
      </c>
      <c r="N39" t="s">
        <v>808</v>
      </c>
      <c r="O39" t="s">
        <v>838</v>
      </c>
      <c r="P39" t="s">
        <v>810</v>
      </c>
      <c r="Q39" t="s">
        <v>839</v>
      </c>
      <c r="R39" t="s">
        <v>812</v>
      </c>
      <c r="S39">
        <v>5</v>
      </c>
      <c r="T39">
        <v>10</v>
      </c>
      <c r="U39">
        <v>0</v>
      </c>
      <c r="W39">
        <v>7950000</v>
      </c>
      <c r="X39">
        <v>2650000</v>
      </c>
      <c r="Y39">
        <v>5300000</v>
      </c>
      <c r="Z39">
        <v>0</v>
      </c>
      <c r="AA39" t="s">
        <v>813</v>
      </c>
    </row>
    <row r="40" spans="1:27" hidden="1" x14ac:dyDescent="0.25">
      <c r="A40">
        <v>16</v>
      </c>
      <c r="B40">
        <v>69941</v>
      </c>
      <c r="C40">
        <v>0</v>
      </c>
      <c r="D40">
        <v>0</v>
      </c>
      <c r="E40" t="s">
        <v>843</v>
      </c>
      <c r="F40" t="s">
        <v>844</v>
      </c>
      <c r="G40">
        <v>1</v>
      </c>
      <c r="H40" s="154">
        <v>150000</v>
      </c>
      <c r="I40" s="155">
        <v>46112</v>
      </c>
      <c r="J40" s="160" t="str">
        <f t="shared" si="0"/>
        <v>Mar</v>
      </c>
      <c r="K40" s="159">
        <f t="shared" si="1"/>
        <v>2026</v>
      </c>
      <c r="M40">
        <v>10</v>
      </c>
      <c r="N40" t="s">
        <v>808</v>
      </c>
      <c r="O40" t="s">
        <v>809</v>
      </c>
      <c r="P40" t="s">
        <v>810</v>
      </c>
      <c r="Q40" t="s">
        <v>845</v>
      </c>
      <c r="R40" t="s">
        <v>812</v>
      </c>
      <c r="S40">
        <v>10</v>
      </c>
      <c r="T40">
        <v>0</v>
      </c>
      <c r="U40">
        <v>0</v>
      </c>
      <c r="W40">
        <v>15000</v>
      </c>
      <c r="X40">
        <v>15000</v>
      </c>
      <c r="Y40">
        <v>0</v>
      </c>
      <c r="Z40">
        <v>0</v>
      </c>
      <c r="AA40" t="s">
        <v>813</v>
      </c>
    </row>
    <row r="41" spans="1:27" hidden="1" x14ac:dyDescent="0.25">
      <c r="A41">
        <v>17</v>
      </c>
      <c r="B41">
        <v>69748</v>
      </c>
      <c r="C41">
        <v>0</v>
      </c>
      <c r="D41">
        <v>0</v>
      </c>
      <c r="E41" t="s">
        <v>846</v>
      </c>
      <c r="F41" t="s">
        <v>673</v>
      </c>
      <c r="G41">
        <v>1</v>
      </c>
      <c r="H41" s="154">
        <v>1918035</v>
      </c>
      <c r="I41" s="155">
        <v>46106</v>
      </c>
      <c r="J41" s="160" t="str">
        <f t="shared" si="0"/>
        <v>Mar</v>
      </c>
      <c r="K41" s="159">
        <f t="shared" si="1"/>
        <v>2026</v>
      </c>
      <c r="M41">
        <v>12</v>
      </c>
      <c r="N41" t="s">
        <v>808</v>
      </c>
      <c r="O41" t="s">
        <v>809</v>
      </c>
      <c r="P41" t="s">
        <v>810</v>
      </c>
      <c r="Q41" t="s">
        <v>833</v>
      </c>
      <c r="R41" t="s">
        <v>812</v>
      </c>
      <c r="S41">
        <v>5</v>
      </c>
      <c r="T41">
        <v>7</v>
      </c>
      <c r="U41">
        <v>0</v>
      </c>
      <c r="W41">
        <v>230164</v>
      </c>
      <c r="X41">
        <v>95902</v>
      </c>
      <c r="Y41">
        <v>134262</v>
      </c>
      <c r="Z41">
        <v>0</v>
      </c>
      <c r="AA41" t="s">
        <v>813</v>
      </c>
    </row>
    <row r="42" spans="1:27" hidden="1" x14ac:dyDescent="0.25">
      <c r="A42">
        <v>18</v>
      </c>
      <c r="B42">
        <v>69749</v>
      </c>
      <c r="C42">
        <v>0</v>
      </c>
      <c r="D42">
        <v>0</v>
      </c>
      <c r="E42" t="s">
        <v>847</v>
      </c>
      <c r="F42" t="s">
        <v>675</v>
      </c>
      <c r="G42">
        <v>1</v>
      </c>
      <c r="H42" s="154">
        <v>715823</v>
      </c>
      <c r="I42" s="155">
        <v>46105</v>
      </c>
      <c r="J42" s="160" t="str">
        <f t="shared" si="0"/>
        <v>Mar</v>
      </c>
      <c r="K42" s="159">
        <f t="shared" si="1"/>
        <v>2026</v>
      </c>
      <c r="M42">
        <v>12</v>
      </c>
      <c r="N42" t="s">
        <v>808</v>
      </c>
      <c r="O42" t="s">
        <v>809</v>
      </c>
      <c r="P42" t="s">
        <v>810</v>
      </c>
      <c r="Q42" t="s">
        <v>833</v>
      </c>
      <c r="R42" t="s">
        <v>812</v>
      </c>
      <c r="S42">
        <v>5</v>
      </c>
      <c r="T42">
        <v>7</v>
      </c>
      <c r="U42">
        <v>0</v>
      </c>
      <c r="W42">
        <v>85899</v>
      </c>
      <c r="X42">
        <v>35791</v>
      </c>
      <c r="Y42">
        <v>50108</v>
      </c>
      <c r="Z42">
        <v>0</v>
      </c>
      <c r="AA42" t="s">
        <v>813</v>
      </c>
    </row>
    <row r="43" spans="1:27" hidden="1" x14ac:dyDescent="0.25">
      <c r="A43">
        <v>19</v>
      </c>
      <c r="B43">
        <v>69837</v>
      </c>
      <c r="C43">
        <v>0</v>
      </c>
      <c r="D43">
        <v>0</v>
      </c>
      <c r="E43" t="s">
        <v>824</v>
      </c>
      <c r="F43" t="s">
        <v>825</v>
      </c>
      <c r="G43">
        <v>1</v>
      </c>
      <c r="H43" s="154">
        <v>4550000</v>
      </c>
      <c r="I43" s="155">
        <v>46101</v>
      </c>
      <c r="J43" s="160" t="str">
        <f t="shared" si="0"/>
        <v>Mar</v>
      </c>
      <c r="K43" s="159">
        <f t="shared" si="1"/>
        <v>2026</v>
      </c>
      <c r="M43">
        <v>8</v>
      </c>
      <c r="N43" t="s">
        <v>808</v>
      </c>
      <c r="O43" t="s">
        <v>809</v>
      </c>
      <c r="P43" t="s">
        <v>810</v>
      </c>
      <c r="Q43" t="s">
        <v>826</v>
      </c>
      <c r="R43" t="s">
        <v>812</v>
      </c>
      <c r="S43">
        <v>8</v>
      </c>
      <c r="T43">
        <v>0</v>
      </c>
      <c r="U43">
        <v>0</v>
      </c>
      <c r="W43">
        <v>364000</v>
      </c>
      <c r="X43">
        <v>364000</v>
      </c>
      <c r="Y43">
        <v>0</v>
      </c>
      <c r="Z43">
        <v>0</v>
      </c>
      <c r="AA43" t="s">
        <v>813</v>
      </c>
    </row>
    <row r="44" spans="1:27" hidden="1" x14ac:dyDescent="0.25">
      <c r="A44">
        <v>20</v>
      </c>
      <c r="B44">
        <v>69746</v>
      </c>
      <c r="C44">
        <v>0</v>
      </c>
      <c r="D44">
        <v>0</v>
      </c>
      <c r="E44" t="s">
        <v>848</v>
      </c>
      <c r="F44" t="s">
        <v>677</v>
      </c>
      <c r="G44">
        <v>1</v>
      </c>
      <c r="H44" s="154">
        <v>28749541</v>
      </c>
      <c r="I44" s="155">
        <v>46100</v>
      </c>
      <c r="J44" s="160" t="str">
        <f t="shared" si="0"/>
        <v>Mar</v>
      </c>
      <c r="K44" s="159">
        <f t="shared" si="1"/>
        <v>2026</v>
      </c>
      <c r="M44">
        <v>12</v>
      </c>
      <c r="N44" t="s">
        <v>808</v>
      </c>
      <c r="O44" t="s">
        <v>809</v>
      </c>
      <c r="P44" t="s">
        <v>810</v>
      </c>
      <c r="Q44" t="s">
        <v>833</v>
      </c>
      <c r="R44" t="s">
        <v>812</v>
      </c>
      <c r="S44">
        <v>5</v>
      </c>
      <c r="T44">
        <v>7</v>
      </c>
      <c r="U44">
        <v>0</v>
      </c>
      <c r="W44">
        <v>3449945</v>
      </c>
      <c r="X44">
        <v>1437477</v>
      </c>
      <c r="Y44">
        <v>2012468</v>
      </c>
      <c r="Z44">
        <v>0</v>
      </c>
      <c r="AA44" t="s">
        <v>813</v>
      </c>
    </row>
    <row r="45" spans="1:27" hidden="1" x14ac:dyDescent="0.25">
      <c r="A45">
        <v>21</v>
      </c>
      <c r="B45">
        <v>69747</v>
      </c>
      <c r="C45">
        <v>0</v>
      </c>
      <c r="D45">
        <v>0</v>
      </c>
      <c r="E45" t="s">
        <v>848</v>
      </c>
      <c r="F45" t="s">
        <v>677</v>
      </c>
      <c r="G45">
        <v>1</v>
      </c>
      <c r="H45" s="154">
        <v>29650410</v>
      </c>
      <c r="I45" s="155">
        <v>46100</v>
      </c>
      <c r="J45" s="160" t="str">
        <f t="shared" si="0"/>
        <v>Mar</v>
      </c>
      <c r="K45" s="159">
        <f t="shared" si="1"/>
        <v>2026</v>
      </c>
      <c r="M45">
        <v>12</v>
      </c>
      <c r="N45" t="s">
        <v>808</v>
      </c>
      <c r="O45" t="s">
        <v>809</v>
      </c>
      <c r="P45" t="s">
        <v>810</v>
      </c>
      <c r="Q45" t="s">
        <v>833</v>
      </c>
      <c r="R45" t="s">
        <v>812</v>
      </c>
      <c r="S45">
        <v>5</v>
      </c>
      <c r="T45">
        <v>7</v>
      </c>
      <c r="U45">
        <v>0</v>
      </c>
      <c r="W45">
        <v>3558049</v>
      </c>
      <c r="X45">
        <v>1482520</v>
      </c>
      <c r="Y45">
        <v>2075529</v>
      </c>
      <c r="Z45">
        <v>0</v>
      </c>
      <c r="AA45" t="s">
        <v>813</v>
      </c>
    </row>
    <row r="46" spans="1:27" hidden="1" x14ac:dyDescent="0.25">
      <c r="A46">
        <v>22</v>
      </c>
      <c r="B46">
        <v>69818</v>
      </c>
      <c r="C46">
        <v>0</v>
      </c>
      <c r="D46">
        <v>0</v>
      </c>
      <c r="E46" t="s">
        <v>849</v>
      </c>
      <c r="F46" t="s">
        <v>850</v>
      </c>
      <c r="G46">
        <v>1</v>
      </c>
      <c r="H46" s="154">
        <v>2000000</v>
      </c>
      <c r="I46" s="155">
        <v>46094</v>
      </c>
      <c r="J46" s="160" t="str">
        <f t="shared" si="0"/>
        <v>Mar</v>
      </c>
      <c r="K46" s="159">
        <f t="shared" si="1"/>
        <v>2026</v>
      </c>
      <c r="M46">
        <v>8</v>
      </c>
      <c r="N46" t="s">
        <v>808</v>
      </c>
      <c r="O46" t="s">
        <v>809</v>
      </c>
      <c r="P46" t="s">
        <v>810</v>
      </c>
      <c r="Q46" t="s">
        <v>826</v>
      </c>
      <c r="R46" t="s">
        <v>812</v>
      </c>
      <c r="S46">
        <v>8</v>
      </c>
      <c r="T46">
        <v>0</v>
      </c>
      <c r="U46">
        <v>0</v>
      </c>
      <c r="W46">
        <v>160000</v>
      </c>
      <c r="X46">
        <v>160000</v>
      </c>
      <c r="Y46">
        <v>0</v>
      </c>
      <c r="Z46">
        <v>0</v>
      </c>
      <c r="AA46" t="s">
        <v>813</v>
      </c>
    </row>
    <row r="47" spans="1:27" hidden="1" x14ac:dyDescent="0.25">
      <c r="A47">
        <v>23</v>
      </c>
      <c r="B47">
        <v>69787</v>
      </c>
      <c r="C47">
        <v>0</v>
      </c>
      <c r="D47">
        <v>0</v>
      </c>
      <c r="E47" t="s">
        <v>851</v>
      </c>
      <c r="F47" t="s">
        <v>852</v>
      </c>
      <c r="G47">
        <v>1</v>
      </c>
      <c r="H47" s="154">
        <v>5000000</v>
      </c>
      <c r="I47" s="155">
        <v>46094</v>
      </c>
      <c r="J47" s="160" t="str">
        <f t="shared" si="0"/>
        <v>Mar</v>
      </c>
      <c r="K47" s="159">
        <f t="shared" si="1"/>
        <v>2026</v>
      </c>
      <c r="M47">
        <v>8</v>
      </c>
      <c r="N47" t="s">
        <v>808</v>
      </c>
      <c r="O47" t="s">
        <v>809</v>
      </c>
      <c r="P47" t="s">
        <v>810</v>
      </c>
      <c r="Q47" t="s">
        <v>826</v>
      </c>
      <c r="R47" t="s">
        <v>812</v>
      </c>
      <c r="S47">
        <v>8</v>
      </c>
      <c r="T47">
        <v>0</v>
      </c>
      <c r="U47">
        <v>0</v>
      </c>
      <c r="W47">
        <v>400000</v>
      </c>
      <c r="X47">
        <v>400000</v>
      </c>
      <c r="Y47">
        <v>0</v>
      </c>
      <c r="Z47">
        <v>0</v>
      </c>
      <c r="AA47" t="s">
        <v>813</v>
      </c>
    </row>
    <row r="48" spans="1:27" hidden="1" x14ac:dyDescent="0.25">
      <c r="A48">
        <v>24</v>
      </c>
      <c r="B48">
        <v>69764</v>
      </c>
      <c r="C48">
        <v>0</v>
      </c>
      <c r="D48">
        <v>0</v>
      </c>
      <c r="E48" t="s">
        <v>853</v>
      </c>
      <c r="F48" t="s">
        <v>854</v>
      </c>
      <c r="G48">
        <v>1</v>
      </c>
      <c r="H48" s="154">
        <v>10418124</v>
      </c>
      <c r="I48" s="155">
        <v>46094</v>
      </c>
      <c r="J48" s="160" t="str">
        <f t="shared" si="0"/>
        <v>Mar</v>
      </c>
      <c r="K48" s="159">
        <f t="shared" si="1"/>
        <v>2026</v>
      </c>
      <c r="M48">
        <v>15</v>
      </c>
      <c r="N48" t="s">
        <v>808</v>
      </c>
      <c r="O48" t="s">
        <v>809</v>
      </c>
      <c r="P48" t="s">
        <v>810</v>
      </c>
      <c r="Q48" t="s">
        <v>833</v>
      </c>
      <c r="R48" t="s">
        <v>812</v>
      </c>
      <c r="S48">
        <v>2</v>
      </c>
      <c r="T48">
        <v>13</v>
      </c>
      <c r="U48">
        <v>0</v>
      </c>
      <c r="W48">
        <v>1562719</v>
      </c>
      <c r="X48">
        <v>208362</v>
      </c>
      <c r="Y48">
        <v>1354356</v>
      </c>
      <c r="Z48">
        <v>0</v>
      </c>
      <c r="AA48" t="s">
        <v>813</v>
      </c>
    </row>
    <row r="49" spans="1:27" hidden="1" x14ac:dyDescent="0.25">
      <c r="A49">
        <v>25</v>
      </c>
      <c r="B49">
        <v>69700</v>
      </c>
      <c r="C49">
        <v>0</v>
      </c>
      <c r="D49">
        <v>0</v>
      </c>
      <c r="E49" t="s">
        <v>841</v>
      </c>
      <c r="F49" t="s">
        <v>842</v>
      </c>
      <c r="G49">
        <v>1</v>
      </c>
      <c r="H49" s="154">
        <v>53000000</v>
      </c>
      <c r="I49" s="155">
        <v>46085</v>
      </c>
      <c r="J49" s="160" t="str">
        <f t="shared" si="0"/>
        <v>Mar</v>
      </c>
      <c r="K49" s="159">
        <f t="shared" si="1"/>
        <v>2026</v>
      </c>
      <c r="M49">
        <v>15</v>
      </c>
      <c r="N49" t="s">
        <v>808</v>
      </c>
      <c r="O49" t="s">
        <v>838</v>
      </c>
      <c r="P49" t="s">
        <v>810</v>
      </c>
      <c r="Q49" t="s">
        <v>839</v>
      </c>
      <c r="R49" t="s">
        <v>812</v>
      </c>
      <c r="S49">
        <v>5</v>
      </c>
      <c r="T49">
        <v>10</v>
      </c>
      <c r="U49">
        <v>0</v>
      </c>
      <c r="W49">
        <v>7950000</v>
      </c>
      <c r="X49">
        <v>2650000</v>
      </c>
      <c r="Y49">
        <v>5300000</v>
      </c>
      <c r="Z49">
        <v>0</v>
      </c>
      <c r="AA49" t="s">
        <v>813</v>
      </c>
    </row>
    <row r="50" spans="1:27" hidden="1" x14ac:dyDescent="0.25">
      <c r="A50">
        <v>26</v>
      </c>
      <c r="B50">
        <v>69684</v>
      </c>
      <c r="C50">
        <v>0</v>
      </c>
      <c r="D50">
        <v>0</v>
      </c>
      <c r="E50" t="s">
        <v>824</v>
      </c>
      <c r="F50" t="s">
        <v>825</v>
      </c>
      <c r="G50">
        <v>1</v>
      </c>
      <c r="H50" s="154">
        <v>4550000</v>
      </c>
      <c r="I50" s="155">
        <v>46083</v>
      </c>
      <c r="J50" s="160" t="str">
        <f t="shared" si="0"/>
        <v>Mar</v>
      </c>
      <c r="K50" s="159">
        <f t="shared" si="1"/>
        <v>2026</v>
      </c>
      <c r="M50">
        <v>8</v>
      </c>
      <c r="N50" t="s">
        <v>808</v>
      </c>
      <c r="O50" t="s">
        <v>809</v>
      </c>
      <c r="P50" t="s">
        <v>810</v>
      </c>
      <c r="Q50" t="s">
        <v>826</v>
      </c>
      <c r="R50" t="s">
        <v>812</v>
      </c>
      <c r="S50">
        <v>8</v>
      </c>
      <c r="T50">
        <v>0</v>
      </c>
      <c r="U50">
        <v>0</v>
      </c>
      <c r="W50">
        <v>364000</v>
      </c>
      <c r="X50">
        <v>364000</v>
      </c>
      <c r="Y50">
        <v>0</v>
      </c>
      <c r="Z50">
        <v>0</v>
      </c>
      <c r="AA50" t="s">
        <v>813</v>
      </c>
    </row>
    <row r="51" spans="1:27" hidden="1" x14ac:dyDescent="0.25">
      <c r="A51">
        <v>27</v>
      </c>
      <c r="B51">
        <v>69451</v>
      </c>
      <c r="C51">
        <v>0</v>
      </c>
      <c r="D51">
        <v>0</v>
      </c>
      <c r="E51" t="s">
        <v>853</v>
      </c>
      <c r="F51" t="s">
        <v>854</v>
      </c>
      <c r="G51">
        <v>1</v>
      </c>
      <c r="H51" s="154">
        <v>7000000</v>
      </c>
      <c r="I51" s="155">
        <v>46079</v>
      </c>
      <c r="J51" s="160" t="str">
        <f t="shared" si="0"/>
        <v>Feb</v>
      </c>
      <c r="K51" s="159">
        <f t="shared" si="1"/>
        <v>2026</v>
      </c>
      <c r="M51">
        <v>15</v>
      </c>
      <c r="N51" t="s">
        <v>808</v>
      </c>
      <c r="O51" t="s">
        <v>809</v>
      </c>
      <c r="P51" t="s">
        <v>810</v>
      </c>
      <c r="Q51" t="s">
        <v>833</v>
      </c>
      <c r="R51" t="s">
        <v>812</v>
      </c>
      <c r="S51">
        <v>2</v>
      </c>
      <c r="T51">
        <v>13</v>
      </c>
      <c r="U51">
        <v>0</v>
      </c>
      <c r="W51">
        <v>1050000</v>
      </c>
      <c r="X51">
        <v>140000</v>
      </c>
      <c r="Y51">
        <v>910000</v>
      </c>
      <c r="Z51">
        <v>0</v>
      </c>
      <c r="AA51" t="s">
        <v>813</v>
      </c>
    </row>
    <row r="52" spans="1:27" hidden="1" x14ac:dyDescent="0.25">
      <c r="A52">
        <v>28</v>
      </c>
      <c r="B52">
        <v>69452</v>
      </c>
      <c r="C52">
        <v>0</v>
      </c>
      <c r="D52">
        <v>0</v>
      </c>
      <c r="E52" t="s">
        <v>853</v>
      </c>
      <c r="F52" t="s">
        <v>854</v>
      </c>
      <c r="G52">
        <v>1</v>
      </c>
      <c r="H52" s="154">
        <v>4269881</v>
      </c>
      <c r="I52" s="155">
        <v>46079</v>
      </c>
      <c r="J52" s="160" t="str">
        <f t="shared" si="0"/>
        <v>Feb</v>
      </c>
      <c r="K52" s="159">
        <f t="shared" si="1"/>
        <v>2026</v>
      </c>
      <c r="M52">
        <v>15</v>
      </c>
      <c r="N52" t="s">
        <v>808</v>
      </c>
      <c r="O52" t="s">
        <v>809</v>
      </c>
      <c r="P52" t="s">
        <v>810</v>
      </c>
      <c r="Q52" t="s">
        <v>833</v>
      </c>
      <c r="R52" t="s">
        <v>812</v>
      </c>
      <c r="S52">
        <v>2</v>
      </c>
      <c r="T52">
        <v>13</v>
      </c>
      <c r="U52">
        <v>0</v>
      </c>
      <c r="W52">
        <v>640482</v>
      </c>
      <c r="X52">
        <v>85398</v>
      </c>
      <c r="Y52">
        <v>555085</v>
      </c>
      <c r="Z52">
        <v>0</v>
      </c>
      <c r="AA52" t="s">
        <v>813</v>
      </c>
    </row>
    <row r="53" spans="1:27" hidden="1" x14ac:dyDescent="0.25">
      <c r="A53">
        <v>29</v>
      </c>
      <c r="B53">
        <v>69272</v>
      </c>
      <c r="C53">
        <v>0</v>
      </c>
      <c r="D53">
        <v>0</v>
      </c>
      <c r="E53" t="s">
        <v>855</v>
      </c>
      <c r="F53" t="s">
        <v>856</v>
      </c>
      <c r="G53">
        <v>1</v>
      </c>
      <c r="H53" s="154">
        <v>1000000</v>
      </c>
      <c r="I53" s="155">
        <v>46066</v>
      </c>
      <c r="J53" s="160" t="str">
        <f t="shared" si="0"/>
        <v>Feb</v>
      </c>
      <c r="K53" s="159">
        <f t="shared" si="1"/>
        <v>2026</v>
      </c>
      <c r="M53">
        <v>12</v>
      </c>
      <c r="N53" t="s">
        <v>808</v>
      </c>
      <c r="O53" t="s">
        <v>809</v>
      </c>
      <c r="P53" t="s">
        <v>810</v>
      </c>
      <c r="Q53" t="s">
        <v>845</v>
      </c>
      <c r="R53" t="s">
        <v>812</v>
      </c>
      <c r="S53">
        <v>12</v>
      </c>
      <c r="T53">
        <v>0</v>
      </c>
      <c r="U53">
        <v>0</v>
      </c>
      <c r="W53">
        <v>120000</v>
      </c>
      <c r="X53">
        <v>120000</v>
      </c>
      <c r="Y53">
        <v>0</v>
      </c>
      <c r="Z53">
        <v>0</v>
      </c>
      <c r="AA53" t="s">
        <v>813</v>
      </c>
    </row>
    <row r="54" spans="1:27" hidden="1" x14ac:dyDescent="0.25">
      <c r="A54">
        <v>30</v>
      </c>
      <c r="B54">
        <v>69322</v>
      </c>
      <c r="C54">
        <v>0</v>
      </c>
      <c r="D54">
        <v>0</v>
      </c>
      <c r="E54" t="s">
        <v>843</v>
      </c>
      <c r="F54" t="s">
        <v>844</v>
      </c>
      <c r="G54">
        <v>1</v>
      </c>
      <c r="H54" s="154">
        <v>400000</v>
      </c>
      <c r="I54" s="155">
        <v>46052</v>
      </c>
      <c r="J54" s="160" t="str">
        <f t="shared" si="0"/>
        <v>Ene</v>
      </c>
      <c r="K54" s="159">
        <f t="shared" si="1"/>
        <v>2026</v>
      </c>
      <c r="M54">
        <v>10</v>
      </c>
      <c r="N54" t="s">
        <v>808</v>
      </c>
      <c r="O54" t="s">
        <v>809</v>
      </c>
      <c r="P54" t="s">
        <v>810</v>
      </c>
      <c r="Q54" t="s">
        <v>845</v>
      </c>
      <c r="R54" t="s">
        <v>812</v>
      </c>
      <c r="S54">
        <v>10</v>
      </c>
      <c r="T54">
        <v>0</v>
      </c>
      <c r="U54">
        <v>0</v>
      </c>
      <c r="W54">
        <v>40000</v>
      </c>
      <c r="X54">
        <v>40000</v>
      </c>
      <c r="Y54">
        <v>0</v>
      </c>
      <c r="Z54">
        <v>0</v>
      </c>
      <c r="AA54" t="s">
        <v>813</v>
      </c>
    </row>
    <row r="55" spans="1:27" hidden="1" x14ac:dyDescent="0.25">
      <c r="A55">
        <v>31</v>
      </c>
      <c r="B55">
        <v>69213</v>
      </c>
      <c r="C55">
        <v>0</v>
      </c>
      <c r="D55">
        <v>0</v>
      </c>
      <c r="E55" t="s">
        <v>857</v>
      </c>
      <c r="F55" t="s">
        <v>858</v>
      </c>
      <c r="G55">
        <v>1</v>
      </c>
      <c r="H55" s="154">
        <v>120000000</v>
      </c>
      <c r="I55" s="155">
        <v>46034</v>
      </c>
      <c r="J55" s="160" t="str">
        <f t="shared" si="0"/>
        <v>Ene</v>
      </c>
      <c r="K55" s="159">
        <f t="shared" si="1"/>
        <v>2026</v>
      </c>
      <c r="M55">
        <v>13</v>
      </c>
      <c r="N55" t="s">
        <v>808</v>
      </c>
      <c r="O55" t="s">
        <v>859</v>
      </c>
      <c r="P55" t="s">
        <v>810</v>
      </c>
      <c r="Q55" t="s">
        <v>860</v>
      </c>
      <c r="R55" t="s">
        <v>812</v>
      </c>
      <c r="S55">
        <v>0</v>
      </c>
      <c r="T55">
        <v>13</v>
      </c>
      <c r="U55">
        <v>0</v>
      </c>
      <c r="W55">
        <v>15600000</v>
      </c>
      <c r="X55">
        <v>0</v>
      </c>
      <c r="Y55">
        <v>15600000</v>
      </c>
      <c r="Z55">
        <v>0</v>
      </c>
      <c r="AA55" t="s">
        <v>813</v>
      </c>
    </row>
    <row r="62" spans="1:27" x14ac:dyDescent="0.25">
      <c r="K62" s="161"/>
    </row>
    <row r="63" spans="1:27" x14ac:dyDescent="0.25">
      <c r="K63" s="162"/>
    </row>
    <row r="64" spans="1:27" x14ac:dyDescent="0.25">
      <c r="K64" s="162"/>
    </row>
    <row r="65" spans="11:11" x14ac:dyDescent="0.25">
      <c r="K65" s="162"/>
    </row>
    <row r="66" spans="11:11" x14ac:dyDescent="0.25">
      <c r="K66" s="162"/>
    </row>
    <row r="67" spans="11:11" x14ac:dyDescent="0.25">
      <c r="K67" s="162"/>
    </row>
    <row r="68" spans="11:11" x14ac:dyDescent="0.25">
      <c r="K68" s="162"/>
    </row>
    <row r="69" spans="11:11" x14ac:dyDescent="0.25">
      <c r="K69" s="162"/>
    </row>
    <row r="70" spans="11:11" x14ac:dyDescent="0.25">
      <c r="K70" s="162"/>
    </row>
    <row r="71" spans="11:11" x14ac:dyDescent="0.25">
      <c r="K71" s="162"/>
    </row>
    <row r="72" spans="11:11" x14ac:dyDescent="0.25">
      <c r="K72" s="162"/>
    </row>
    <row r="73" spans="11:11" x14ac:dyDescent="0.25">
      <c r="K73" s="162"/>
    </row>
    <row r="74" spans="11:11" x14ac:dyDescent="0.25">
      <c r="K74" s="162"/>
    </row>
    <row r="75" spans="11:11" x14ac:dyDescent="0.25">
      <c r="K75" s="162"/>
    </row>
    <row r="76" spans="11:11" x14ac:dyDescent="0.25">
      <c r="K76" s="162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D05D-0DB2-4779-AEBE-3A0729F3CBDD}">
  <dimension ref="A2:J144"/>
  <sheetViews>
    <sheetView showGridLines="0" workbookViewId="0">
      <selection activeCell="F9" sqref="F9"/>
    </sheetView>
  </sheetViews>
  <sheetFormatPr baseColWidth="10" defaultRowHeight="15" x14ac:dyDescent="0.25"/>
  <cols>
    <col min="1" max="1" width="25" bestFit="1" customWidth="1"/>
    <col min="2" max="2" width="6.42578125" bestFit="1" customWidth="1"/>
    <col min="3" max="3" width="6.7109375" bestFit="1" customWidth="1"/>
    <col min="4" max="5" width="23.140625" style="5" customWidth="1"/>
    <col min="6" max="6" width="27" bestFit="1" customWidth="1"/>
    <col min="9" max="9" width="29.5703125" bestFit="1" customWidth="1"/>
    <col min="10" max="10" width="86.28515625" bestFit="1" customWidth="1"/>
  </cols>
  <sheetData>
    <row r="2" spans="1:10" x14ac:dyDescent="0.25">
      <c r="A2" s="4" t="s">
        <v>17</v>
      </c>
      <c r="B2" s="1" t="s">
        <v>18</v>
      </c>
      <c r="C2" s="1" t="s">
        <v>22</v>
      </c>
      <c r="D2" s="1" t="s">
        <v>5</v>
      </c>
      <c r="E2" s="1" t="s">
        <v>37</v>
      </c>
      <c r="F2" s="1" t="s">
        <v>6</v>
      </c>
      <c r="I2" s="12" t="s">
        <v>16</v>
      </c>
      <c r="J2" s="12" t="s">
        <v>112</v>
      </c>
    </row>
    <row r="3" spans="1:10" x14ac:dyDescent="0.25">
      <c r="A3" s="2" t="s">
        <v>12</v>
      </c>
      <c r="B3" s="2" t="s">
        <v>19</v>
      </c>
      <c r="C3" s="2" t="s">
        <v>24</v>
      </c>
      <c r="D3" s="2" t="s">
        <v>30</v>
      </c>
      <c r="E3" s="2" t="s">
        <v>38</v>
      </c>
      <c r="F3" s="6" t="s">
        <v>13</v>
      </c>
      <c r="I3" s="13" t="s">
        <v>12</v>
      </c>
      <c r="J3" s="14" t="s">
        <v>113</v>
      </c>
    </row>
    <row r="4" spans="1:10" x14ac:dyDescent="0.25">
      <c r="A4" s="2" t="s">
        <v>86</v>
      </c>
      <c r="B4" s="2" t="s">
        <v>20</v>
      </c>
      <c r="C4" s="2" t="s">
        <v>25</v>
      </c>
      <c r="D4" s="2" t="s">
        <v>31</v>
      </c>
      <c r="E4" s="2" t="s">
        <v>39</v>
      </c>
      <c r="F4" s="9" t="s">
        <v>14</v>
      </c>
      <c r="I4" s="13" t="s">
        <v>86</v>
      </c>
      <c r="J4" s="14" t="s">
        <v>114</v>
      </c>
    </row>
    <row r="5" spans="1:10" x14ac:dyDescent="0.25">
      <c r="A5" s="2" t="s">
        <v>88</v>
      </c>
      <c r="C5" s="3" t="s">
        <v>23</v>
      </c>
      <c r="D5" s="2" t="s">
        <v>32</v>
      </c>
      <c r="E5" s="2" t="s">
        <v>40</v>
      </c>
      <c r="F5" s="7" t="s">
        <v>15</v>
      </c>
      <c r="I5" s="13" t="s">
        <v>88</v>
      </c>
      <c r="J5" s="14" t="s">
        <v>121</v>
      </c>
    </row>
    <row r="6" spans="1:10" x14ac:dyDescent="0.25">
      <c r="A6" s="3" t="s">
        <v>87</v>
      </c>
      <c r="C6" s="3" t="s">
        <v>26</v>
      </c>
      <c r="D6" s="2" t="s">
        <v>33</v>
      </c>
      <c r="E6" s="2" t="s">
        <v>41</v>
      </c>
      <c r="F6" s="8" t="s">
        <v>95</v>
      </c>
      <c r="I6" s="13" t="s">
        <v>87</v>
      </c>
      <c r="J6" s="14" t="s">
        <v>115</v>
      </c>
    </row>
    <row r="7" spans="1:10" x14ac:dyDescent="0.25">
      <c r="A7" s="3" t="s">
        <v>89</v>
      </c>
      <c r="C7" s="3" t="s">
        <v>27</v>
      </c>
      <c r="D7" s="2" t="s">
        <v>34</v>
      </c>
      <c r="E7" s="2" t="s">
        <v>42</v>
      </c>
      <c r="F7" s="10" t="s">
        <v>96</v>
      </c>
      <c r="I7" s="13" t="s">
        <v>89</v>
      </c>
      <c r="J7" s="14" t="s">
        <v>116</v>
      </c>
    </row>
    <row r="8" spans="1:10" x14ac:dyDescent="0.25">
      <c r="A8" s="3" t="s">
        <v>93</v>
      </c>
      <c r="D8" s="2" t="s">
        <v>28</v>
      </c>
      <c r="E8" s="5" t="s">
        <v>144</v>
      </c>
      <c r="F8" s="9" t="s">
        <v>640</v>
      </c>
      <c r="I8" s="13" t="s">
        <v>93</v>
      </c>
      <c r="J8" s="14" t="s">
        <v>117</v>
      </c>
    </row>
    <row r="9" spans="1:10" x14ac:dyDescent="0.25">
      <c r="A9" s="3" t="s">
        <v>74</v>
      </c>
      <c r="D9" s="2" t="s">
        <v>75</v>
      </c>
      <c r="E9" s="3" t="s">
        <v>43</v>
      </c>
      <c r="F9" t="s">
        <v>1068</v>
      </c>
      <c r="I9" s="13" t="s">
        <v>74</v>
      </c>
      <c r="J9" s="14" t="s">
        <v>118</v>
      </c>
    </row>
    <row r="10" spans="1:10" x14ac:dyDescent="0.25">
      <c r="A10" s="3" t="s">
        <v>111</v>
      </c>
      <c r="D10" s="2" t="s">
        <v>141</v>
      </c>
      <c r="E10" s="3" t="s">
        <v>44</v>
      </c>
      <c r="I10" s="13" t="s">
        <v>119</v>
      </c>
      <c r="J10" s="14" t="s">
        <v>120</v>
      </c>
    </row>
    <row r="11" spans="1:10" x14ac:dyDescent="0.25">
      <c r="A11" s="3" t="s">
        <v>714</v>
      </c>
      <c r="D11" s="2" t="s">
        <v>142</v>
      </c>
      <c r="E11" s="3" t="s">
        <v>68</v>
      </c>
    </row>
    <row r="12" spans="1:10" x14ac:dyDescent="0.25">
      <c r="A12" s="3" t="s">
        <v>873</v>
      </c>
      <c r="D12" s="2" t="s">
        <v>76</v>
      </c>
      <c r="E12" s="3"/>
    </row>
    <row r="13" spans="1:10" x14ac:dyDescent="0.25">
      <c r="D13" s="2"/>
      <c r="E13" s="3"/>
    </row>
    <row r="14" spans="1:10" x14ac:dyDescent="0.25">
      <c r="D14" s="2"/>
      <c r="E14" s="3"/>
    </row>
    <row r="15" spans="1:10" x14ac:dyDescent="0.25">
      <c r="D15" s="2"/>
      <c r="E15" s="3"/>
    </row>
    <row r="16" spans="1:10" x14ac:dyDescent="0.25">
      <c r="D16" s="2"/>
      <c r="E16" s="3"/>
    </row>
    <row r="17" spans="4:5" x14ac:dyDescent="0.25">
      <c r="D17" s="2"/>
      <c r="E17" s="3"/>
    </row>
    <row r="19" spans="4:5" x14ac:dyDescent="0.25">
      <c r="D19" s="2"/>
      <c r="E19" s="3"/>
    </row>
    <row r="20" spans="4:5" x14ac:dyDescent="0.25">
      <c r="D20"/>
      <c r="E20"/>
    </row>
    <row r="21" spans="4:5" x14ac:dyDescent="0.25">
      <c r="D21"/>
      <c r="E21"/>
    </row>
    <row r="22" spans="4:5" x14ac:dyDescent="0.25">
      <c r="D22"/>
      <c r="E22"/>
    </row>
    <row r="23" spans="4:5" x14ac:dyDescent="0.25">
      <c r="D23"/>
      <c r="E23"/>
    </row>
    <row r="24" spans="4:5" x14ac:dyDescent="0.25">
      <c r="D24"/>
      <c r="E24"/>
    </row>
    <row r="25" spans="4:5" x14ac:dyDescent="0.25">
      <c r="D25"/>
      <c r="E25"/>
    </row>
    <row r="26" spans="4:5" x14ac:dyDescent="0.25">
      <c r="D26"/>
      <c r="E26"/>
    </row>
    <row r="27" spans="4:5" x14ac:dyDescent="0.25">
      <c r="D27"/>
      <c r="E27"/>
    </row>
    <row r="28" spans="4:5" x14ac:dyDescent="0.25">
      <c r="D28"/>
      <c r="E28"/>
    </row>
    <row r="29" spans="4:5" x14ac:dyDescent="0.25">
      <c r="D29"/>
      <c r="E29"/>
    </row>
    <row r="30" spans="4:5" x14ac:dyDescent="0.25">
      <c r="D30"/>
      <c r="E30"/>
    </row>
    <row r="31" spans="4:5" x14ac:dyDescent="0.25">
      <c r="D31"/>
      <c r="E31"/>
    </row>
    <row r="32" spans="4:5" x14ac:dyDescent="0.25">
      <c r="D32"/>
      <c r="E32"/>
    </row>
    <row r="33" spans="4:5" x14ac:dyDescent="0.25">
      <c r="D33"/>
      <c r="E33"/>
    </row>
    <row r="34" spans="4:5" x14ac:dyDescent="0.25">
      <c r="D34"/>
      <c r="E34"/>
    </row>
    <row r="35" spans="4:5" x14ac:dyDescent="0.25">
      <c r="D35"/>
      <c r="E35"/>
    </row>
    <row r="36" spans="4:5" x14ac:dyDescent="0.25">
      <c r="D36"/>
      <c r="E36"/>
    </row>
    <row r="37" spans="4:5" x14ac:dyDescent="0.25">
      <c r="D37"/>
      <c r="E37"/>
    </row>
    <row r="38" spans="4:5" x14ac:dyDescent="0.25">
      <c r="D38"/>
      <c r="E38"/>
    </row>
    <row r="39" spans="4:5" x14ac:dyDescent="0.25">
      <c r="D39"/>
      <c r="E39"/>
    </row>
    <row r="40" spans="4:5" x14ac:dyDescent="0.25">
      <c r="D40"/>
      <c r="E40"/>
    </row>
    <row r="41" spans="4:5" x14ac:dyDescent="0.25">
      <c r="D41"/>
      <c r="E41"/>
    </row>
    <row r="42" spans="4:5" x14ac:dyDescent="0.25">
      <c r="D42"/>
      <c r="E42"/>
    </row>
    <row r="43" spans="4:5" x14ac:dyDescent="0.25">
      <c r="D43"/>
      <c r="E43"/>
    </row>
    <row r="44" spans="4:5" x14ac:dyDescent="0.25">
      <c r="D44"/>
      <c r="E44"/>
    </row>
    <row r="45" spans="4:5" x14ac:dyDescent="0.25">
      <c r="D45"/>
      <c r="E45"/>
    </row>
    <row r="46" spans="4:5" x14ac:dyDescent="0.25">
      <c r="D46"/>
      <c r="E46"/>
    </row>
    <row r="47" spans="4:5" x14ac:dyDescent="0.25">
      <c r="D47"/>
      <c r="E47"/>
    </row>
    <row r="48" spans="4:5" x14ac:dyDescent="0.25">
      <c r="D48"/>
      <c r="E48"/>
    </row>
    <row r="49" spans="4:5" x14ac:dyDescent="0.25">
      <c r="D49"/>
      <c r="E49"/>
    </row>
    <row r="50" spans="4:5" x14ac:dyDescent="0.25">
      <c r="D50"/>
      <c r="E50"/>
    </row>
    <row r="51" spans="4:5" x14ac:dyDescent="0.25">
      <c r="D51"/>
      <c r="E51"/>
    </row>
    <row r="52" spans="4:5" x14ac:dyDescent="0.25">
      <c r="D52"/>
      <c r="E52"/>
    </row>
    <row r="53" spans="4:5" x14ac:dyDescent="0.25">
      <c r="D53"/>
      <c r="E53"/>
    </row>
    <row r="54" spans="4:5" x14ac:dyDescent="0.25">
      <c r="D54"/>
      <c r="E54"/>
    </row>
    <row r="55" spans="4:5" x14ac:dyDescent="0.25">
      <c r="D55"/>
      <c r="E55"/>
    </row>
    <row r="56" spans="4:5" x14ac:dyDescent="0.25">
      <c r="D56"/>
      <c r="E56"/>
    </row>
    <row r="57" spans="4:5" x14ac:dyDescent="0.25">
      <c r="D57"/>
      <c r="E57"/>
    </row>
    <row r="58" spans="4:5" x14ac:dyDescent="0.25">
      <c r="D58"/>
      <c r="E58"/>
    </row>
    <row r="59" spans="4:5" x14ac:dyDescent="0.25">
      <c r="D59"/>
      <c r="E59"/>
    </row>
    <row r="60" spans="4:5" x14ac:dyDescent="0.25">
      <c r="D60"/>
      <c r="E60"/>
    </row>
    <row r="61" spans="4:5" x14ac:dyDescent="0.25">
      <c r="D61"/>
      <c r="E61"/>
    </row>
    <row r="62" spans="4:5" x14ac:dyDescent="0.25">
      <c r="D62"/>
      <c r="E62"/>
    </row>
    <row r="63" spans="4:5" x14ac:dyDescent="0.25">
      <c r="D63"/>
      <c r="E63"/>
    </row>
    <row r="64" spans="4:5" x14ac:dyDescent="0.25">
      <c r="D64"/>
      <c r="E64"/>
    </row>
    <row r="65" spans="4:5" x14ac:dyDescent="0.25">
      <c r="D65"/>
      <c r="E65"/>
    </row>
    <row r="66" spans="4:5" x14ac:dyDescent="0.25">
      <c r="D66"/>
      <c r="E66"/>
    </row>
    <row r="67" spans="4:5" x14ac:dyDescent="0.25">
      <c r="D67"/>
      <c r="E67"/>
    </row>
    <row r="68" spans="4:5" x14ac:dyDescent="0.25">
      <c r="D68"/>
      <c r="E68"/>
    </row>
    <row r="69" spans="4:5" x14ac:dyDescent="0.25">
      <c r="D69"/>
      <c r="E69"/>
    </row>
    <row r="70" spans="4:5" x14ac:dyDescent="0.25">
      <c r="D70"/>
      <c r="E70"/>
    </row>
    <row r="71" spans="4:5" x14ac:dyDescent="0.25">
      <c r="D71"/>
      <c r="E71"/>
    </row>
    <row r="72" spans="4:5" x14ac:dyDescent="0.25">
      <c r="D72"/>
      <c r="E72"/>
    </row>
    <row r="73" spans="4:5" x14ac:dyDescent="0.25">
      <c r="D73"/>
      <c r="E73"/>
    </row>
    <row r="74" spans="4:5" x14ac:dyDescent="0.25">
      <c r="D74"/>
      <c r="E74"/>
    </row>
    <row r="75" spans="4:5" x14ac:dyDescent="0.25">
      <c r="D75"/>
      <c r="E75"/>
    </row>
    <row r="76" spans="4:5" x14ac:dyDescent="0.25">
      <c r="D76"/>
      <c r="E76"/>
    </row>
    <row r="77" spans="4:5" x14ac:dyDescent="0.25">
      <c r="D77"/>
      <c r="E77"/>
    </row>
    <row r="78" spans="4:5" x14ac:dyDescent="0.25">
      <c r="D78"/>
      <c r="E78"/>
    </row>
    <row r="79" spans="4:5" x14ac:dyDescent="0.25">
      <c r="D79"/>
      <c r="E79"/>
    </row>
    <row r="80" spans="4:5" x14ac:dyDescent="0.25">
      <c r="D80"/>
      <c r="E80"/>
    </row>
    <row r="81" spans="4:5" x14ac:dyDescent="0.25">
      <c r="D81"/>
      <c r="E81"/>
    </row>
    <row r="82" spans="4:5" x14ac:dyDescent="0.25">
      <c r="D82"/>
      <c r="E82"/>
    </row>
    <row r="83" spans="4:5" x14ac:dyDescent="0.25">
      <c r="D83"/>
      <c r="E83"/>
    </row>
    <row r="84" spans="4:5" x14ac:dyDescent="0.25">
      <c r="D84"/>
      <c r="E84"/>
    </row>
    <row r="85" spans="4:5" x14ac:dyDescent="0.25">
      <c r="D85"/>
      <c r="E85"/>
    </row>
    <row r="86" spans="4:5" x14ac:dyDescent="0.25">
      <c r="D86"/>
      <c r="E86"/>
    </row>
    <row r="87" spans="4:5" x14ac:dyDescent="0.25">
      <c r="D87"/>
      <c r="E87"/>
    </row>
    <row r="88" spans="4:5" x14ac:dyDescent="0.25">
      <c r="D88"/>
      <c r="E88"/>
    </row>
    <row r="89" spans="4:5" x14ac:dyDescent="0.25">
      <c r="D89"/>
      <c r="E89"/>
    </row>
    <row r="90" spans="4:5" x14ac:dyDescent="0.25">
      <c r="D90"/>
      <c r="E90"/>
    </row>
    <row r="91" spans="4:5" x14ac:dyDescent="0.25">
      <c r="D91"/>
      <c r="E91"/>
    </row>
    <row r="92" spans="4:5" x14ac:dyDescent="0.25">
      <c r="D92"/>
      <c r="E92"/>
    </row>
    <row r="93" spans="4:5" x14ac:dyDescent="0.25">
      <c r="D93"/>
      <c r="E93"/>
    </row>
    <row r="94" spans="4:5" x14ac:dyDescent="0.25">
      <c r="D94"/>
      <c r="E94"/>
    </row>
    <row r="95" spans="4:5" x14ac:dyDescent="0.25">
      <c r="D95"/>
      <c r="E95"/>
    </row>
    <row r="96" spans="4:5" x14ac:dyDescent="0.25">
      <c r="D96"/>
      <c r="E96"/>
    </row>
    <row r="97" spans="4:5" x14ac:dyDescent="0.25">
      <c r="D97"/>
      <c r="E97"/>
    </row>
    <row r="98" spans="4:5" x14ac:dyDescent="0.25">
      <c r="D98"/>
      <c r="E98"/>
    </row>
    <row r="99" spans="4:5" x14ac:dyDescent="0.25">
      <c r="D99"/>
      <c r="E99"/>
    </row>
    <row r="100" spans="4:5" x14ac:dyDescent="0.25">
      <c r="D100"/>
      <c r="E100"/>
    </row>
    <row r="101" spans="4:5" x14ac:dyDescent="0.25">
      <c r="D101"/>
      <c r="E101"/>
    </row>
    <row r="102" spans="4:5" x14ac:dyDescent="0.25">
      <c r="D102"/>
      <c r="E102"/>
    </row>
    <row r="103" spans="4:5" x14ac:dyDescent="0.25">
      <c r="D103"/>
      <c r="E103"/>
    </row>
    <row r="104" spans="4:5" x14ac:dyDescent="0.25">
      <c r="D104"/>
      <c r="E104"/>
    </row>
    <row r="105" spans="4:5" x14ac:dyDescent="0.25">
      <c r="D105"/>
      <c r="E105"/>
    </row>
    <row r="106" spans="4:5" x14ac:dyDescent="0.25">
      <c r="D106"/>
      <c r="E106"/>
    </row>
    <row r="107" spans="4:5" x14ac:dyDescent="0.25">
      <c r="D107"/>
      <c r="E107"/>
    </row>
    <row r="108" spans="4:5" x14ac:dyDescent="0.25">
      <c r="D108"/>
      <c r="E108"/>
    </row>
    <row r="109" spans="4:5" x14ac:dyDescent="0.25">
      <c r="D109"/>
      <c r="E109"/>
    </row>
    <row r="110" spans="4:5" x14ac:dyDescent="0.25">
      <c r="D110"/>
      <c r="E110"/>
    </row>
    <row r="111" spans="4:5" x14ac:dyDescent="0.25">
      <c r="D111"/>
      <c r="E111"/>
    </row>
    <row r="112" spans="4:5" x14ac:dyDescent="0.25">
      <c r="D112"/>
      <c r="E112"/>
    </row>
    <row r="113" spans="4:5" x14ac:dyDescent="0.25">
      <c r="D113"/>
      <c r="E113"/>
    </row>
    <row r="114" spans="4:5" x14ac:dyDescent="0.25">
      <c r="D114"/>
      <c r="E114"/>
    </row>
    <row r="115" spans="4:5" x14ac:dyDescent="0.25">
      <c r="D115"/>
      <c r="E115"/>
    </row>
    <row r="116" spans="4:5" x14ac:dyDescent="0.25">
      <c r="D116"/>
      <c r="E116"/>
    </row>
    <row r="117" spans="4:5" x14ac:dyDescent="0.25">
      <c r="D117"/>
      <c r="E117"/>
    </row>
    <row r="118" spans="4:5" x14ac:dyDescent="0.25">
      <c r="D118"/>
      <c r="E118"/>
    </row>
    <row r="119" spans="4:5" x14ac:dyDescent="0.25">
      <c r="D119"/>
      <c r="E119"/>
    </row>
    <row r="120" spans="4:5" x14ac:dyDescent="0.25">
      <c r="D120"/>
      <c r="E120"/>
    </row>
    <row r="121" spans="4:5" x14ac:dyDescent="0.25">
      <c r="D121"/>
      <c r="E121"/>
    </row>
    <row r="122" spans="4:5" x14ac:dyDescent="0.25">
      <c r="D122"/>
      <c r="E122"/>
    </row>
    <row r="123" spans="4:5" x14ac:dyDescent="0.25">
      <c r="D123"/>
      <c r="E123"/>
    </row>
    <row r="124" spans="4:5" x14ac:dyDescent="0.25">
      <c r="D124"/>
      <c r="E124"/>
    </row>
    <row r="125" spans="4:5" x14ac:dyDescent="0.25">
      <c r="D125"/>
      <c r="E125"/>
    </row>
    <row r="126" spans="4:5" x14ac:dyDescent="0.25">
      <c r="D126"/>
      <c r="E126"/>
    </row>
    <row r="127" spans="4:5" x14ac:dyDescent="0.25">
      <c r="D127"/>
      <c r="E127"/>
    </row>
    <row r="128" spans="4:5" x14ac:dyDescent="0.25">
      <c r="D128"/>
      <c r="E128"/>
    </row>
    <row r="129" spans="4:5" x14ac:dyDescent="0.25">
      <c r="D129"/>
      <c r="E129"/>
    </row>
    <row r="130" spans="4:5" x14ac:dyDescent="0.25">
      <c r="D130"/>
      <c r="E130"/>
    </row>
    <row r="131" spans="4:5" x14ac:dyDescent="0.25">
      <c r="D131"/>
      <c r="E131"/>
    </row>
    <row r="132" spans="4:5" x14ac:dyDescent="0.25">
      <c r="D132"/>
      <c r="E132"/>
    </row>
    <row r="133" spans="4:5" x14ac:dyDescent="0.25">
      <c r="D133"/>
      <c r="E133"/>
    </row>
    <row r="134" spans="4:5" x14ac:dyDescent="0.25">
      <c r="D134"/>
      <c r="E134"/>
    </row>
    <row r="135" spans="4:5" x14ac:dyDescent="0.25">
      <c r="D135"/>
      <c r="E135"/>
    </row>
    <row r="136" spans="4:5" x14ac:dyDescent="0.25">
      <c r="D136"/>
      <c r="E136"/>
    </row>
    <row r="137" spans="4:5" x14ac:dyDescent="0.25">
      <c r="D137"/>
      <c r="E137"/>
    </row>
    <row r="138" spans="4:5" x14ac:dyDescent="0.25">
      <c r="D138"/>
      <c r="E138"/>
    </row>
    <row r="139" spans="4:5" x14ac:dyDescent="0.25">
      <c r="D139"/>
      <c r="E139"/>
    </row>
    <row r="140" spans="4:5" x14ac:dyDescent="0.25">
      <c r="D140"/>
      <c r="E140"/>
    </row>
    <row r="141" spans="4:5" x14ac:dyDescent="0.25">
      <c r="D141"/>
      <c r="E141"/>
    </row>
    <row r="142" spans="4:5" x14ac:dyDescent="0.25">
      <c r="D142"/>
      <c r="E142"/>
    </row>
    <row r="143" spans="4:5" x14ac:dyDescent="0.25">
      <c r="D143"/>
      <c r="E143"/>
    </row>
    <row r="144" spans="4:5" x14ac:dyDescent="0.25">
      <c r="D144"/>
      <c r="E144"/>
    </row>
  </sheetData>
  <conditionalFormatting sqref="B2:C4 C5:C7">
    <cfRule type="cellIs" dxfId="7" priority="5" operator="lessThan">
      <formula>0</formula>
    </cfRule>
  </conditionalFormatting>
  <conditionalFormatting sqref="D2:E7 A3:A12 D8:D11 E9:E11 D12:E17 D19:E19">
    <cfRule type="cellIs" dxfId="6" priority="6" operator="lessThan">
      <formula>0</formula>
    </cfRule>
  </conditionalFormatting>
  <conditionalFormatting sqref="F2">
    <cfRule type="cellIs" dxfId="5" priority="1" operator="lessThan">
      <formula>0</formula>
    </cfRule>
  </conditionalFormatting>
  <conditionalFormatting sqref="F7">
    <cfRule type="expression" dxfId="1" priority="10">
      <formula>$M8="Adherida al OTIC"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FC52D3FA-4BE3-4667-8800-1B95628282DB}">
            <xm:f>NOT(ISERROR(SEARCH($W$3,F7)))</xm:f>
            <xm:f>$W$3</xm:f>
            <x14:dxf>
              <fill>
                <patternFill>
                  <bgColor rgb="FFF5C6C6"/>
                </patternFill>
              </fill>
            </x14:dxf>
          </x14:cfRule>
          <x14:cfRule type="containsText" priority="8" operator="containsText" id="{13AE1311-CB80-46D8-8AC7-EBD91F7F7AA3}">
            <xm:f>NOT(ISERROR(SEARCH($W$5,F7)))</xm:f>
            <xm:f>$W$5</xm:f>
            <x14:dxf>
              <fill>
                <patternFill>
                  <bgColor rgb="FFFAD8B4"/>
                </patternFill>
              </fill>
            </x14:dxf>
          </x14:cfRule>
          <x14:cfRule type="containsText" priority="9" operator="containsText" id="{4B06A061-F9C0-4B6B-A0E7-A8823553F912}">
            <xm:f>NOT(ISERROR(SEARCH($W$4,F7)))</xm:f>
            <xm:f>$W$4</xm:f>
            <x14:dxf>
              <fill>
                <patternFill>
                  <bgColor rgb="FFD3E4F0"/>
                </patternFill>
              </fill>
            </x14:dxf>
          </x14:cfRule>
          <x14:cfRule type="containsText" priority="11" operator="containsText" id="{233C65E0-9CB7-4865-A65A-AFCEFE5E209F}">
            <xm:f>NOT(ISERROR(SEARCH($W$2,F7)))</xm:f>
            <xm:f>$W$2</xm:f>
            <x14:dxf>
              <fill>
                <patternFill>
                  <bgColor rgb="FFC7E8C8"/>
                </patternFill>
              </fill>
            </x14:dxf>
          </x14:cfRule>
          <xm:sqref>F7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5F78-8097-4BE8-96A8-3B150D86512C}">
  <dimension ref="B2:H17"/>
  <sheetViews>
    <sheetView showGridLines="0" workbookViewId="0">
      <selection activeCell="C10" sqref="C10:D17"/>
    </sheetView>
  </sheetViews>
  <sheetFormatPr baseColWidth="10" defaultRowHeight="15" x14ac:dyDescent="0.25"/>
  <cols>
    <col min="1" max="1" width="3.140625" customWidth="1"/>
    <col min="2" max="2" width="7.85546875" bestFit="1" customWidth="1"/>
    <col min="3" max="3" width="23.7109375" bestFit="1" customWidth="1"/>
    <col min="4" max="4" width="39.85546875" bestFit="1" customWidth="1"/>
    <col min="5" max="5" width="34.7109375" customWidth="1"/>
    <col min="6" max="6" width="11.42578125" customWidth="1"/>
    <col min="7" max="7" width="14.28515625" customWidth="1"/>
    <col min="8" max="8" width="22.28515625" customWidth="1"/>
  </cols>
  <sheetData>
    <row r="2" spans="2:8" x14ac:dyDescent="0.25">
      <c r="B2" s="149" t="s">
        <v>0</v>
      </c>
      <c r="C2" s="149" t="s">
        <v>763</v>
      </c>
      <c r="D2" s="149" t="s">
        <v>759</v>
      </c>
      <c r="E2" s="149" t="s">
        <v>767</v>
      </c>
      <c r="F2" s="149" t="s">
        <v>760</v>
      </c>
      <c r="G2" s="149" t="s">
        <v>761</v>
      </c>
      <c r="H2" s="149" t="s">
        <v>762</v>
      </c>
    </row>
    <row r="3" spans="2:8" x14ac:dyDescent="0.25">
      <c r="B3" s="150">
        <v>1</v>
      </c>
      <c r="C3" s="150" t="s">
        <v>764</v>
      </c>
      <c r="D3" s="151" t="s">
        <v>732</v>
      </c>
      <c r="E3" s="151" t="s">
        <v>768</v>
      </c>
      <c r="F3" s="151" t="s">
        <v>745</v>
      </c>
      <c r="G3" s="151" t="s">
        <v>746</v>
      </c>
      <c r="H3" s="151" t="s">
        <v>782</v>
      </c>
    </row>
    <row r="4" spans="2:8" x14ac:dyDescent="0.25">
      <c r="B4" s="150">
        <v>2</v>
      </c>
      <c r="C4" s="150" t="s">
        <v>774</v>
      </c>
      <c r="D4" s="152" t="s">
        <v>733</v>
      </c>
      <c r="E4" s="152" t="s">
        <v>773</v>
      </c>
      <c r="F4" s="151" t="s">
        <v>748</v>
      </c>
      <c r="G4" s="151" t="s">
        <v>747</v>
      </c>
      <c r="H4" s="151" t="s">
        <v>734</v>
      </c>
    </row>
    <row r="5" spans="2:8" x14ac:dyDescent="0.25">
      <c r="B5" s="150">
        <v>3</v>
      </c>
      <c r="C5" s="150" t="s">
        <v>766</v>
      </c>
      <c r="D5" s="151" t="s">
        <v>735</v>
      </c>
      <c r="E5" s="151" t="s">
        <v>770</v>
      </c>
      <c r="F5" s="151" t="s">
        <v>754</v>
      </c>
      <c r="G5" s="151" t="s">
        <v>749</v>
      </c>
      <c r="H5" s="151" t="s">
        <v>736</v>
      </c>
    </row>
    <row r="6" spans="2:8" x14ac:dyDescent="0.25">
      <c r="B6" s="150">
        <v>4</v>
      </c>
      <c r="C6" s="150" t="s">
        <v>765</v>
      </c>
      <c r="D6" s="151" t="s">
        <v>737</v>
      </c>
      <c r="E6" s="151" t="s">
        <v>769</v>
      </c>
      <c r="F6" s="151" t="s">
        <v>755</v>
      </c>
      <c r="G6" s="151" t="s">
        <v>750</v>
      </c>
      <c r="H6" s="151" t="s">
        <v>738</v>
      </c>
    </row>
    <row r="7" spans="2:8" x14ac:dyDescent="0.25">
      <c r="B7" s="150">
        <v>5</v>
      </c>
      <c r="C7" s="150" t="s">
        <v>776</v>
      </c>
      <c r="D7" s="151" t="s">
        <v>781</v>
      </c>
      <c r="E7" s="151" t="s">
        <v>775</v>
      </c>
      <c r="F7" s="151" t="s">
        <v>756</v>
      </c>
      <c r="G7" s="151" t="s">
        <v>751</v>
      </c>
      <c r="H7" s="151" t="s">
        <v>739</v>
      </c>
    </row>
    <row r="8" spans="2:8" x14ac:dyDescent="0.25">
      <c r="B8" s="150">
        <v>6</v>
      </c>
      <c r="C8" s="150" t="s">
        <v>778</v>
      </c>
      <c r="D8" s="151" t="s">
        <v>779</v>
      </c>
      <c r="E8" s="151" t="s">
        <v>777</v>
      </c>
      <c r="F8" s="151" t="s">
        <v>757</v>
      </c>
      <c r="G8" s="151" t="s">
        <v>752</v>
      </c>
      <c r="H8" s="151" t="s">
        <v>740</v>
      </c>
    </row>
    <row r="9" spans="2:8" x14ac:dyDescent="0.25">
      <c r="B9" s="150">
        <v>7</v>
      </c>
      <c r="C9" s="150" t="s">
        <v>780</v>
      </c>
      <c r="D9" s="151" t="s">
        <v>741</v>
      </c>
      <c r="E9" s="151" t="s">
        <v>770</v>
      </c>
      <c r="F9" s="151" t="s">
        <v>758</v>
      </c>
      <c r="G9" s="151" t="s">
        <v>753</v>
      </c>
      <c r="H9" s="151" t="s">
        <v>742</v>
      </c>
    </row>
    <row r="10" spans="2:8" x14ac:dyDescent="0.25">
      <c r="B10" s="150">
        <v>8</v>
      </c>
      <c r="C10" s="150" t="s">
        <v>772</v>
      </c>
      <c r="D10" s="151" t="s">
        <v>743</v>
      </c>
      <c r="E10" s="151" t="s">
        <v>771</v>
      </c>
      <c r="F10" s="151"/>
      <c r="G10" s="151"/>
      <c r="H10" s="151" t="s">
        <v>744</v>
      </c>
    </row>
    <row r="11" spans="2:8" x14ac:dyDescent="0.25">
      <c r="B11" s="177">
        <v>9</v>
      </c>
      <c r="C11" s="177" t="s">
        <v>979</v>
      </c>
      <c r="D11" s="178" t="s">
        <v>978</v>
      </c>
      <c r="E11" s="178"/>
      <c r="F11" s="178"/>
      <c r="G11" s="178"/>
      <c r="H11" s="178"/>
    </row>
    <row r="12" spans="2:8" x14ac:dyDescent="0.25">
      <c r="B12" s="177">
        <v>10</v>
      </c>
      <c r="C12" s="177" t="s">
        <v>980</v>
      </c>
      <c r="D12" s="178" t="s">
        <v>991</v>
      </c>
      <c r="E12" s="178"/>
      <c r="F12" s="178"/>
      <c r="G12" s="178"/>
      <c r="H12" s="178"/>
    </row>
    <row r="13" spans="2:8" x14ac:dyDescent="0.25">
      <c r="B13" s="177">
        <v>11</v>
      </c>
      <c r="C13" s="177" t="s">
        <v>981</v>
      </c>
      <c r="D13" s="178" t="s">
        <v>990</v>
      </c>
      <c r="E13" s="178"/>
      <c r="F13" s="178"/>
      <c r="G13" s="178"/>
      <c r="H13" s="178"/>
    </row>
    <row r="14" spans="2:8" x14ac:dyDescent="0.25">
      <c r="B14" s="177">
        <v>12</v>
      </c>
      <c r="C14" s="177" t="s">
        <v>982</v>
      </c>
      <c r="D14" s="178" t="s">
        <v>989</v>
      </c>
      <c r="E14" s="178"/>
      <c r="F14" s="178"/>
      <c r="G14" s="178"/>
      <c r="H14" s="178"/>
    </row>
    <row r="15" spans="2:8" x14ac:dyDescent="0.25">
      <c r="B15" s="177">
        <v>13</v>
      </c>
      <c r="C15" s="177" t="s">
        <v>983</v>
      </c>
      <c r="D15" s="178" t="s">
        <v>988</v>
      </c>
      <c r="E15" s="178"/>
      <c r="F15" s="178"/>
      <c r="G15" s="178"/>
      <c r="H15" s="178"/>
    </row>
    <row r="16" spans="2:8" x14ac:dyDescent="0.25">
      <c r="B16" s="177">
        <v>14</v>
      </c>
      <c r="C16" s="177" t="s">
        <v>986</v>
      </c>
      <c r="D16" s="178" t="s">
        <v>987</v>
      </c>
      <c r="E16" s="178"/>
      <c r="F16" s="178"/>
      <c r="G16" s="178"/>
      <c r="H16" s="178"/>
    </row>
    <row r="17" spans="2:8" x14ac:dyDescent="0.25">
      <c r="B17" s="177">
        <v>15</v>
      </c>
      <c r="C17" s="177" t="s">
        <v>984</v>
      </c>
      <c r="D17" s="178" t="s">
        <v>985</v>
      </c>
      <c r="E17" s="178"/>
      <c r="F17" s="178"/>
      <c r="G17" s="178"/>
      <c r="H17" s="17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2025</vt:lpstr>
      <vt:lpstr>2026</vt:lpstr>
      <vt:lpstr>Hoja2</vt:lpstr>
      <vt:lpstr>Hoja4</vt:lpstr>
      <vt:lpstr>Para Fabiola</vt:lpstr>
      <vt:lpstr>Hoja5</vt:lpstr>
      <vt:lpstr>Indicadores</vt:lpstr>
      <vt:lpstr>ALIANZA HR</vt:lpstr>
      <vt:lpstr>Indicador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Maldonado Suazo</dc:creator>
  <cp:lastModifiedBy>Camilo Esteban Rivera Bravo</cp:lastModifiedBy>
  <dcterms:created xsi:type="dcterms:W3CDTF">2026-01-12T18:38:12Z</dcterms:created>
  <dcterms:modified xsi:type="dcterms:W3CDTF">2026-07-14T13:29:45Z</dcterms:modified>
</cp:coreProperties>
</file>